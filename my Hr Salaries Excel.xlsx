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ACB99FE0-60E2-4709-8A90-FC5D026AD1FC}" xr6:coauthVersionLast="47" xr6:coauthVersionMax="47" xr10:uidLastSave="{00000000-0000-0000-0000-000000000000}"/>
  <bookViews>
    <workbookView xWindow="-96" yWindow="-96" windowWidth="23232" windowHeight="12432" firstSheet="1" activeTab="1" xr2:uid="{EEB1DB2D-5BF9-4105-80A6-3360EF4DBC0B}"/>
  </bookViews>
  <sheets>
    <sheet name="Jop Classification" sheetId="3" r:id="rId1"/>
    <sheet name="Dashboard" sheetId="5" r:id="rId2"/>
    <sheet name="Pivot Table Analysis" sheetId="4" r:id="rId3"/>
    <sheet name="Employees_salary" sheetId="2" r:id="rId4"/>
    <sheet name="Sheet1" sheetId="1" r:id="rId5"/>
  </sheets>
  <definedNames>
    <definedName name="_xlcn.WorksheetConnection_Book1Employees_salary1" hidden="1">Employees_salary[]</definedName>
    <definedName name="_xlcn.WorksheetConnection_Book1Jop_Classification1" hidden="1">Jop_Classification[]</definedName>
    <definedName name="ExternalData_1" localSheetId="3" hidden="1">Employees_salary!$A$1:$J$501</definedName>
    <definedName name="ExternalData_2" localSheetId="0" hidden="1">'Jop Classification'!$A$1:$B$22</definedName>
    <definedName name="Slicer_Department">#N/A</definedName>
    <definedName name="Slicer_Gender">#N/A</definedName>
    <definedName name="Slicer_Job_Level">#N/A</definedName>
    <definedName name="Slicer_Job_Title">#N/A</definedName>
    <definedName name="Slicer_Name">#N/A</definedName>
  </definedNames>
  <calcPr calcId="191029"/>
  <pivotCaches>
    <pivotCache cacheId="8071" r:id="rId6"/>
    <pivotCache cacheId="8074" r:id="rId7"/>
    <pivotCache cacheId="8077" r:id="rId8"/>
    <pivotCache cacheId="8080" r:id="rId9"/>
    <pivotCache cacheId="8083" r:id="rId10"/>
    <pivotCache cacheId="8086" r:id="rId11"/>
    <pivotCache cacheId="8089" r:id="rId12"/>
    <pivotCache cacheId="8092" r:id="rId13"/>
    <pivotCache cacheId="8095" r:id="rId14"/>
    <pivotCache cacheId="8098" r:id="rId15"/>
  </pivotCaches>
  <extLst>
    <ext xmlns:x14="http://schemas.microsoft.com/office/spreadsheetml/2009/9/main" uri="{876F7934-8845-4945-9796-88D515C7AA90}">
      <x14:pivotCaches>
        <pivotCache cacheId="58"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p_Classification" name="Jop_Classification" connection="WorksheetConnection_Book1!Jop_Classification"/>
          <x15:modelTable id="Employees_salary" name="Employees_salary" connection="WorksheetConnection_Book1!Employees_salary"/>
        </x15:modelTables>
        <x15:modelRelationships>
          <x15:modelRelationship fromTable="Employees_salary" fromColumn="Job Title" toTable="Jop_Classification"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 l="1"/>
  <c r="A30" i="4"/>
  <c r="A23" i="4"/>
  <c r="A18" i="4"/>
  <c r="A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DC37B5-4B79-44EB-8576-967ABAF020C2}" keepAlive="1" name="Query - Employees_salary" description="Connection to the 'Employees_salary' query in the workbook." type="5" refreshedVersion="8" background="1" saveData="1">
    <dbPr connection="Provider=Microsoft.Mashup.OleDb.1;Data Source=$Workbook$;Location=Employees_salary;Extended Properties=&quot;&quot;" command="SELECT * FROM [Employees_salary]"/>
  </connection>
  <connection id="2" xr16:uid="{919A51E9-40E0-4EDD-9F2D-C8422EBFB36A}" keepAlive="1" name="Query - Jop Classification" description="Connection to the 'Jop Classification' query in the workbook." type="5" refreshedVersion="8" background="1" saveData="1">
    <dbPr connection="Provider=Microsoft.Mashup.OleDb.1;Data Source=$Workbook$;Location=&quot;Jop Classification&quot;;Extended Properties=&quot;&quot;" command="SELECT * FROM [Jop Classification]"/>
  </connection>
  <connection id="3" xr16:uid="{85F460F1-090B-47D8-90F1-879200E573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8F24A11-3EF2-42EE-842E-6CC31D451CC3}" name="WorksheetConnection_Book1!Employees_salary" type="102" refreshedVersion="8" minRefreshableVersion="5">
    <extLst>
      <ext xmlns:x15="http://schemas.microsoft.com/office/spreadsheetml/2010/11/main" uri="{DE250136-89BD-433C-8126-D09CA5730AF9}">
        <x15:connection id="Employees_salary">
          <x15:rangePr sourceName="_xlcn.WorksheetConnection_Book1Employees_salary1"/>
        </x15:connection>
      </ext>
    </extLst>
  </connection>
  <connection id="5" xr16:uid="{FF8EA87A-63FD-4EC8-9958-0395CBBF7C5A}" name="WorksheetConnection_Book1!Jop_Classification" type="102" refreshedVersion="8" minRefreshableVersion="5">
    <extLst>
      <ext xmlns:x15="http://schemas.microsoft.com/office/spreadsheetml/2010/11/main" uri="{DE250136-89BD-433C-8126-D09CA5730AF9}">
        <x15:connection id="Jop_Classification">
          <x15:rangePr sourceName="_xlcn.WorksheetConnection_Book1Jop_Classification1"/>
        </x15:connection>
      </ext>
    </extLst>
  </connection>
</connections>
</file>

<file path=xl/sharedStrings.xml><?xml version="1.0" encoding="utf-8"?>
<sst xmlns="http://schemas.openxmlformats.org/spreadsheetml/2006/main" count="3607" uniqueCount="1072">
  <si>
    <t>Employee ID</t>
  </si>
  <si>
    <t>Name</t>
  </si>
  <si>
    <t>Department</t>
  </si>
  <si>
    <t>Job Title</t>
  </si>
  <si>
    <t>Gender</t>
  </si>
  <si>
    <t>Age</t>
  </si>
  <si>
    <t>Experience (Years)</t>
  </si>
  <si>
    <t>Salary</t>
  </si>
  <si>
    <t>Location</t>
  </si>
  <si>
    <t>Education Level</t>
  </si>
  <si>
    <t>EMP0001</t>
  </si>
  <si>
    <t>Scott Larson</t>
  </si>
  <si>
    <t>R&amp;D</t>
  </si>
  <si>
    <t>Data Scientist</t>
  </si>
  <si>
    <t>Male</t>
  </si>
  <si>
    <t>Indianapolis</t>
  </si>
  <si>
    <t>PhD</t>
  </si>
  <si>
    <t>EMP0002</t>
  </si>
  <si>
    <t>Mark Gentry</t>
  </si>
  <si>
    <t>IT</t>
  </si>
  <si>
    <t>IT Manager</t>
  </si>
  <si>
    <t>Fort Worth</t>
  </si>
  <si>
    <t>BSC</t>
  </si>
  <si>
    <t>EMP0003</t>
  </si>
  <si>
    <t>Cameron Roberts</t>
  </si>
  <si>
    <t>R&amp;D Manager</t>
  </si>
  <si>
    <t>EMP0004</t>
  </si>
  <si>
    <t>Kimberly Johnson</t>
  </si>
  <si>
    <t>Research Analyst</t>
  </si>
  <si>
    <t>Female</t>
  </si>
  <si>
    <t>Houston</t>
  </si>
  <si>
    <t>EMP0005</t>
  </si>
  <si>
    <t>Taylor Fowler</t>
  </si>
  <si>
    <t>HR</t>
  </si>
  <si>
    <t>Recruiter</t>
  </si>
  <si>
    <t>Seattle</t>
  </si>
  <si>
    <t>Master</t>
  </si>
  <si>
    <t>EMP0006</t>
  </si>
  <si>
    <t>Angela Anderson</t>
  </si>
  <si>
    <t>Software Engineer</t>
  </si>
  <si>
    <t>High School</t>
  </si>
  <si>
    <t>EMP0007</t>
  </si>
  <si>
    <t>Tami Blake</t>
  </si>
  <si>
    <t>Finance</t>
  </si>
  <si>
    <t>Accountant</t>
  </si>
  <si>
    <t>EMP0008</t>
  </si>
  <si>
    <t>Thomas Long</t>
  </si>
  <si>
    <t>Operations</t>
  </si>
  <si>
    <t>Logistics Coordinator</t>
  </si>
  <si>
    <t>EMP0009</t>
  </si>
  <si>
    <t>Mr. Thomas Adams</t>
  </si>
  <si>
    <t>System Admin</t>
  </si>
  <si>
    <t>San Jose</t>
  </si>
  <si>
    <t>EMP0010</t>
  </si>
  <si>
    <t>Christopher Mitchell</t>
  </si>
  <si>
    <t>Sales</t>
  </si>
  <si>
    <t>Sales Executive</t>
  </si>
  <si>
    <t>EMP0011</t>
  </si>
  <si>
    <t>Christy Matthews</t>
  </si>
  <si>
    <t>EMP0012</t>
  </si>
  <si>
    <t>Michael Bryant</t>
  </si>
  <si>
    <t>Marketing</t>
  </si>
  <si>
    <t>SEO Specialist</t>
  </si>
  <si>
    <t>EMP0013</t>
  </si>
  <si>
    <t>Susan Parker</t>
  </si>
  <si>
    <t>Operations Manager</t>
  </si>
  <si>
    <t>EMP0014</t>
  </si>
  <si>
    <t>Lisa Clark</t>
  </si>
  <si>
    <t>Financial Analyst</t>
  </si>
  <si>
    <t>EMP0015</t>
  </si>
  <si>
    <t>Kathleen Stone</t>
  </si>
  <si>
    <t>Operations Executive</t>
  </si>
  <si>
    <t>EMP0016</t>
  </si>
  <si>
    <t>Jeffery Mclaughlin</t>
  </si>
  <si>
    <t>Marketing Manager</t>
  </si>
  <si>
    <t>EMP0017</t>
  </si>
  <si>
    <t>Amy Hall</t>
  </si>
  <si>
    <t>HR Manager</t>
  </si>
  <si>
    <t>EMP0018</t>
  </si>
  <si>
    <t>Peter Garcia</t>
  </si>
  <si>
    <t>Account Manager</t>
  </si>
  <si>
    <t>EMP0019</t>
  </si>
  <si>
    <t>Vincent Willis</t>
  </si>
  <si>
    <t>Philadelphia</t>
  </si>
  <si>
    <t>EMP0020</t>
  </si>
  <si>
    <t>James Meyer</t>
  </si>
  <si>
    <t>EMP0021</t>
  </si>
  <si>
    <t>Martin Davis</t>
  </si>
  <si>
    <t>EMP0022</t>
  </si>
  <si>
    <t>Teresa Carroll</t>
  </si>
  <si>
    <t>Denver</t>
  </si>
  <si>
    <t>EMP0023</t>
  </si>
  <si>
    <t>Kathryn Davis</t>
  </si>
  <si>
    <t>HR Assistant</t>
  </si>
  <si>
    <t>EMP0024</t>
  </si>
  <si>
    <t>Steven Hinton</t>
  </si>
  <si>
    <t>EMP0025</t>
  </si>
  <si>
    <t>Joanna Anderson</t>
  </si>
  <si>
    <t>EMP0026</t>
  </si>
  <si>
    <t>Omar Jones</t>
  </si>
  <si>
    <t>EMP0027</t>
  </si>
  <si>
    <t>Stephanie Campos</t>
  </si>
  <si>
    <t>EMP0028</t>
  </si>
  <si>
    <t>Anita Sharp</t>
  </si>
  <si>
    <t>EMP0029</t>
  </si>
  <si>
    <t>Jennifer Miles</t>
  </si>
  <si>
    <t>EMP0030</t>
  </si>
  <si>
    <t>Curtis Murray</t>
  </si>
  <si>
    <t>EMP0031</t>
  </si>
  <si>
    <t>Cody Cooper</t>
  </si>
  <si>
    <t>EMP0032</t>
  </si>
  <si>
    <t>Kent Arias</t>
  </si>
  <si>
    <t>EMP0033</t>
  </si>
  <si>
    <t>Michael Logan</t>
  </si>
  <si>
    <t>EMP0034</t>
  </si>
  <si>
    <t>Sean Wilson</t>
  </si>
  <si>
    <t>EMP0035</t>
  </si>
  <si>
    <t>John Odom</t>
  </si>
  <si>
    <t>EMP0036</t>
  </si>
  <si>
    <t>Brian Spencer</t>
  </si>
  <si>
    <t>Sales Manager</t>
  </si>
  <si>
    <t>EMP0037</t>
  </si>
  <si>
    <t>Amy Smith</t>
  </si>
  <si>
    <t>EMP0038</t>
  </si>
  <si>
    <t>Megan Carroll</t>
  </si>
  <si>
    <t>EMP0039</t>
  </si>
  <si>
    <t>Jack Rivera</t>
  </si>
  <si>
    <t>EMP0040</t>
  </si>
  <si>
    <t>Dr. Katrina Jones</t>
  </si>
  <si>
    <t>EMP0041</t>
  </si>
  <si>
    <t>Miss Cynthia Morton</t>
  </si>
  <si>
    <t>EMP0042</t>
  </si>
  <si>
    <t>Kaitlyn Washington</t>
  </si>
  <si>
    <t>EMP0043</t>
  </si>
  <si>
    <t>James Owens</t>
  </si>
  <si>
    <t>EMP0044</t>
  </si>
  <si>
    <t>Brian Kelley</t>
  </si>
  <si>
    <t>EMP0045</t>
  </si>
  <si>
    <t>Joseph Stephens</t>
  </si>
  <si>
    <t>EMP0046</t>
  </si>
  <si>
    <t>Adriana Perry</t>
  </si>
  <si>
    <t>EMP0047</t>
  </si>
  <si>
    <t>Warren Conway</t>
  </si>
  <si>
    <t>EMP0048</t>
  </si>
  <si>
    <t>Chelsea Rodriguez</t>
  </si>
  <si>
    <t>EMP0049</t>
  </si>
  <si>
    <t>Aaron Phillips</t>
  </si>
  <si>
    <t>Finance Manager</t>
  </si>
  <si>
    <t>EMP0050</t>
  </si>
  <si>
    <t>Michele Freeman</t>
  </si>
  <si>
    <t>EMP0051</t>
  </si>
  <si>
    <t>Donna Barton</t>
  </si>
  <si>
    <t>EMP0052</t>
  </si>
  <si>
    <t>Kimberly Hernandez</t>
  </si>
  <si>
    <t>EMP0053</t>
  </si>
  <si>
    <t>Corey Jackson</t>
  </si>
  <si>
    <t>EMP0054</t>
  </si>
  <si>
    <t>Melanie Williams</t>
  </si>
  <si>
    <t>EMP0055</t>
  </si>
  <si>
    <t>Shane Curtis</t>
  </si>
  <si>
    <t>EMP0056</t>
  </si>
  <si>
    <t>Elizabeth Johnson</t>
  </si>
  <si>
    <t>EMP0057</t>
  </si>
  <si>
    <t>Christine Krause</t>
  </si>
  <si>
    <t>EMP0058</t>
  </si>
  <si>
    <t>Todd Mclean</t>
  </si>
  <si>
    <t>EMP0059</t>
  </si>
  <si>
    <t>Brian Thompson</t>
  </si>
  <si>
    <t>EMP0060</t>
  </si>
  <si>
    <t>Justin Howell</t>
  </si>
  <si>
    <t>EMP0061</t>
  </si>
  <si>
    <t>Amy Castillo</t>
  </si>
  <si>
    <t>EMP0062</t>
  </si>
  <si>
    <t>Sarah Thompson MD</t>
  </si>
  <si>
    <t>EMP0063</t>
  </si>
  <si>
    <t>Megan Roach</t>
  </si>
  <si>
    <t>EMP0064</t>
  </si>
  <si>
    <t>Jessica Daniels</t>
  </si>
  <si>
    <t>EMP0065</t>
  </si>
  <si>
    <t>Martha Pena</t>
  </si>
  <si>
    <t>EMP0066</t>
  </si>
  <si>
    <t>Rhonda Bates</t>
  </si>
  <si>
    <t>EMP0067</t>
  </si>
  <si>
    <t>Stephanie Washington</t>
  </si>
  <si>
    <t>EMP0068</t>
  </si>
  <si>
    <t>Lori Lindsey</t>
  </si>
  <si>
    <t>EMP0069</t>
  </si>
  <si>
    <t>Carolyn Hansen</t>
  </si>
  <si>
    <t>Marketing Executive</t>
  </si>
  <si>
    <t>EMP0070</t>
  </si>
  <si>
    <t>Ashley Patrick</t>
  </si>
  <si>
    <t>EMP0071</t>
  </si>
  <si>
    <t>Valerie Oliver</t>
  </si>
  <si>
    <t>EMP0072</t>
  </si>
  <si>
    <t>Jeremy Foster</t>
  </si>
  <si>
    <t>EMP0073</t>
  </si>
  <si>
    <t>Sarah Carpenter</t>
  </si>
  <si>
    <t>EMP0074</t>
  </si>
  <si>
    <t>Michael Sampson</t>
  </si>
  <si>
    <t>EMP0075</t>
  </si>
  <si>
    <t>Grant Morris</t>
  </si>
  <si>
    <t>EMP0076</t>
  </si>
  <si>
    <t>William Allen</t>
  </si>
  <si>
    <t>EMP0077</t>
  </si>
  <si>
    <t>Shawn Hill</t>
  </si>
  <si>
    <t>EMP0078</t>
  </si>
  <si>
    <t>David Walton</t>
  </si>
  <si>
    <t>EMP0079</t>
  </si>
  <si>
    <t>Emily Thompson</t>
  </si>
  <si>
    <t>EMP0080</t>
  </si>
  <si>
    <t>Phillip Gregory</t>
  </si>
  <si>
    <t>EMP0081</t>
  </si>
  <si>
    <t>Gregory Cervantes</t>
  </si>
  <si>
    <t>EMP0082</t>
  </si>
  <si>
    <t>Lisa Moore</t>
  </si>
  <si>
    <t>EMP0083</t>
  </si>
  <si>
    <t>Matthew Brown</t>
  </si>
  <si>
    <t>EMP0084</t>
  </si>
  <si>
    <t>Matthew Barrett</t>
  </si>
  <si>
    <t>EMP0085</t>
  </si>
  <si>
    <t>Stanley Ewing</t>
  </si>
  <si>
    <t>EMP0086</t>
  </si>
  <si>
    <t>Edward Williams</t>
  </si>
  <si>
    <t>EMP0087</t>
  </si>
  <si>
    <t>Connie Craig DDS</t>
  </si>
  <si>
    <t>EMP0088</t>
  </si>
  <si>
    <t>Cynthia Brewer</t>
  </si>
  <si>
    <t>EMP0089</t>
  </si>
  <si>
    <t>Gary Nguyen</t>
  </si>
  <si>
    <t>EMP0090</t>
  </si>
  <si>
    <t>Michael Rodriguez</t>
  </si>
  <si>
    <t>EMP0091</t>
  </si>
  <si>
    <t>Ashley Lopez</t>
  </si>
  <si>
    <t>EMP0092</t>
  </si>
  <si>
    <t>Erin Martin</t>
  </si>
  <si>
    <t>EMP0093</t>
  </si>
  <si>
    <t>Robert Smith</t>
  </si>
  <si>
    <t>EMP0094</t>
  </si>
  <si>
    <t>Terri Harris</t>
  </si>
  <si>
    <t>EMP0095</t>
  </si>
  <si>
    <t>Marvin Hall</t>
  </si>
  <si>
    <t>EMP0096</t>
  </si>
  <si>
    <t>Carl Carson</t>
  </si>
  <si>
    <t>EMP0097</t>
  </si>
  <si>
    <t>Linda Anderson</t>
  </si>
  <si>
    <t>EMP0098</t>
  </si>
  <si>
    <t>Laura Ritter</t>
  </si>
  <si>
    <t>EMP0099</t>
  </si>
  <si>
    <t>Crystal Martin</t>
  </si>
  <si>
    <t>EMP0100</t>
  </si>
  <si>
    <t>Tammy Terry</t>
  </si>
  <si>
    <t>EMP0101</t>
  </si>
  <si>
    <t>Stephanie Glenn</t>
  </si>
  <si>
    <t>EMP0102</t>
  </si>
  <si>
    <t>Richard Ortiz</t>
  </si>
  <si>
    <t>EMP0103</t>
  </si>
  <si>
    <t>Douglas Holmes</t>
  </si>
  <si>
    <t>EMP0104</t>
  </si>
  <si>
    <t>Jared Murray</t>
  </si>
  <si>
    <t>EMP0105</t>
  </si>
  <si>
    <t>Lauren Gonzalez</t>
  </si>
  <si>
    <t>EMP0106</t>
  </si>
  <si>
    <t>Sheila Edwards</t>
  </si>
  <si>
    <t>EMP0107</t>
  </si>
  <si>
    <t>Lynn Tucker</t>
  </si>
  <si>
    <t>EMP0108</t>
  </si>
  <si>
    <t>Robert Powell</t>
  </si>
  <si>
    <t>EMP0109</t>
  </si>
  <si>
    <t>Brian Franco</t>
  </si>
  <si>
    <t>EMP0110</t>
  </si>
  <si>
    <t>Robert Hall DDS</t>
  </si>
  <si>
    <t>EMP0111</t>
  </si>
  <si>
    <t>Molly Levy</t>
  </si>
  <si>
    <t>EMP0112</t>
  </si>
  <si>
    <t>Michael Smith</t>
  </si>
  <si>
    <t>EMP0113</t>
  </si>
  <si>
    <t>Jeffrey Lopez</t>
  </si>
  <si>
    <t>EMP0114</t>
  </si>
  <si>
    <t>Jaime Harrison</t>
  </si>
  <si>
    <t>EMP0115</t>
  </si>
  <si>
    <t>Eric Braun</t>
  </si>
  <si>
    <t>EMP0116</t>
  </si>
  <si>
    <t>Maria Hernandez</t>
  </si>
  <si>
    <t>EMP0117</t>
  </si>
  <si>
    <t>Jennifer Ballard</t>
  </si>
  <si>
    <t>EMP0118</t>
  </si>
  <si>
    <t>Elizabeth Smith</t>
  </si>
  <si>
    <t>EMP0119</t>
  </si>
  <si>
    <t>Michael Dickerson</t>
  </si>
  <si>
    <t>EMP0120</t>
  </si>
  <si>
    <t>Richard Guzman</t>
  </si>
  <si>
    <t>EMP0121</t>
  </si>
  <si>
    <t>Jessica Wright</t>
  </si>
  <si>
    <t>EMP0122</t>
  </si>
  <si>
    <t>Gregory Hudson</t>
  </si>
  <si>
    <t>EMP0123</t>
  </si>
  <si>
    <t>Danny Marquez</t>
  </si>
  <si>
    <t>EMP0124</t>
  </si>
  <si>
    <t>Casey Roberts</t>
  </si>
  <si>
    <t>EMP0125</t>
  </si>
  <si>
    <t>Kelly Lee</t>
  </si>
  <si>
    <t>EMP0126</t>
  </si>
  <si>
    <t>Tracy Valencia</t>
  </si>
  <si>
    <t>EMP0127</t>
  </si>
  <si>
    <t>Thomas Matthews</t>
  </si>
  <si>
    <t>EMP0128</t>
  </si>
  <si>
    <t>Christopher Lam</t>
  </si>
  <si>
    <t>EMP0129</t>
  </si>
  <si>
    <t>Barbara Herring</t>
  </si>
  <si>
    <t>EMP0130</t>
  </si>
  <si>
    <t>Daniel Davidson</t>
  </si>
  <si>
    <t>EMP0131</t>
  </si>
  <si>
    <t>Chelsea Stephens</t>
  </si>
  <si>
    <t>EMP0132</t>
  </si>
  <si>
    <t>Robert Jones</t>
  </si>
  <si>
    <t>EMP0133</t>
  </si>
  <si>
    <t>Jeffery Thornton</t>
  </si>
  <si>
    <t>EMP0134</t>
  </si>
  <si>
    <t>Erin Moore</t>
  </si>
  <si>
    <t>EMP0135</t>
  </si>
  <si>
    <t>Cassidy Peters</t>
  </si>
  <si>
    <t>EMP0136</t>
  </si>
  <si>
    <t>Tiffany Cox</t>
  </si>
  <si>
    <t>EMP0137</t>
  </si>
  <si>
    <t>Leslie Burke</t>
  </si>
  <si>
    <t>EMP0138</t>
  </si>
  <si>
    <t>Angela Murphy</t>
  </si>
  <si>
    <t>EMP0139</t>
  </si>
  <si>
    <t>Zoe Cain</t>
  </si>
  <si>
    <t>EMP0140</t>
  </si>
  <si>
    <t>Jessica Ewing</t>
  </si>
  <si>
    <t>EMP0141</t>
  </si>
  <si>
    <t>Frank Morales</t>
  </si>
  <si>
    <t>EMP0142</t>
  </si>
  <si>
    <t>Mr. Charles Morgan</t>
  </si>
  <si>
    <t>EMP0143</t>
  </si>
  <si>
    <t>Cassie Morgan</t>
  </si>
  <si>
    <t>EMP0144</t>
  </si>
  <si>
    <t>Jennifer Brown</t>
  </si>
  <si>
    <t>EMP0145</t>
  </si>
  <si>
    <t>Dr. Lisa Reyes</t>
  </si>
  <si>
    <t>EMP0146</t>
  </si>
  <si>
    <t>Johnny Lopez</t>
  </si>
  <si>
    <t>EMP0147</t>
  </si>
  <si>
    <t>Roberto Smith</t>
  </si>
  <si>
    <t>EMP0148</t>
  </si>
  <si>
    <t>Allison Robertson</t>
  </si>
  <si>
    <t>EMP0149</t>
  </si>
  <si>
    <t>Brenda Martinez</t>
  </si>
  <si>
    <t>EMP0150</t>
  </si>
  <si>
    <t>Christopher Foster</t>
  </si>
  <si>
    <t>EMP0151</t>
  </si>
  <si>
    <t>Ryan Rose</t>
  </si>
  <si>
    <t>EMP0152</t>
  </si>
  <si>
    <t>Anthony Hammond</t>
  </si>
  <si>
    <t>EMP0153</t>
  </si>
  <si>
    <t>Derek Jarvis</t>
  </si>
  <si>
    <t>EMP0154</t>
  </si>
  <si>
    <t>Richard Dixon</t>
  </si>
  <si>
    <t>EMP0155</t>
  </si>
  <si>
    <t>Heather Lane</t>
  </si>
  <si>
    <t>EMP0156</t>
  </si>
  <si>
    <t>Angela Scott</t>
  </si>
  <si>
    <t>EMP0157</t>
  </si>
  <si>
    <t>Jack Martin</t>
  </si>
  <si>
    <t>EMP0158</t>
  </si>
  <si>
    <t>Susan Wong</t>
  </si>
  <si>
    <t>EMP0159</t>
  </si>
  <si>
    <t>Phillip Ellis</t>
  </si>
  <si>
    <t>EMP0160</t>
  </si>
  <si>
    <t>Christopher Jones</t>
  </si>
  <si>
    <t>EMP0161</t>
  </si>
  <si>
    <t>Christine Brady</t>
  </si>
  <si>
    <t>EMP0162</t>
  </si>
  <si>
    <t>Stephanie Adams</t>
  </si>
  <si>
    <t>EMP0163</t>
  </si>
  <si>
    <t>Brandi Powell</t>
  </si>
  <si>
    <t>EMP0164</t>
  </si>
  <si>
    <t>Leah Ayala</t>
  </si>
  <si>
    <t>EMP0165</t>
  </si>
  <si>
    <t>Melissa Edwards</t>
  </si>
  <si>
    <t>EMP0166</t>
  </si>
  <si>
    <t>Nichole Newton</t>
  </si>
  <si>
    <t>EMP0167</t>
  </si>
  <si>
    <t>Susan Underwood</t>
  </si>
  <si>
    <t>EMP0168</t>
  </si>
  <si>
    <t>Jimmy Allen</t>
  </si>
  <si>
    <t>EMP0169</t>
  </si>
  <si>
    <t>Daniel Castillo</t>
  </si>
  <si>
    <t>EMP0170</t>
  </si>
  <si>
    <t>Jennifer Perry</t>
  </si>
  <si>
    <t>EMP0171</t>
  </si>
  <si>
    <t>Samantha Navarro</t>
  </si>
  <si>
    <t>EMP0172</t>
  </si>
  <si>
    <t>Cameron Hoover</t>
  </si>
  <si>
    <t>EMP0173</t>
  </si>
  <si>
    <t>Dr. Miguel Gibson</t>
  </si>
  <si>
    <t>EMP0174</t>
  </si>
  <si>
    <t>Steven English</t>
  </si>
  <si>
    <t>EMP0175</t>
  </si>
  <si>
    <t>Lori Melton</t>
  </si>
  <si>
    <t>EMP0176</t>
  </si>
  <si>
    <t>Manuel Nelson</t>
  </si>
  <si>
    <t>EMP0177</t>
  </si>
  <si>
    <t>Jonathan Estrada</t>
  </si>
  <si>
    <t>EMP0178</t>
  </si>
  <si>
    <t>Deborah Williams</t>
  </si>
  <si>
    <t>EMP0179</t>
  </si>
  <si>
    <t>Cody Williams</t>
  </si>
  <si>
    <t>EMP0180</t>
  </si>
  <si>
    <t>Suzanne Alvarado</t>
  </si>
  <si>
    <t>EMP0181</t>
  </si>
  <si>
    <t>Amy Schwartz</t>
  </si>
  <si>
    <t>EMP0182</t>
  </si>
  <si>
    <t>Joseph James</t>
  </si>
  <si>
    <t>EMP0183</t>
  </si>
  <si>
    <t>Michelle Fuller</t>
  </si>
  <si>
    <t>EMP0184</t>
  </si>
  <si>
    <t>Debbie Robinson</t>
  </si>
  <si>
    <t>EMP0185</t>
  </si>
  <si>
    <t>Daniel Elliott</t>
  </si>
  <si>
    <t>EMP0186</t>
  </si>
  <si>
    <t>Connie Camacho</t>
  </si>
  <si>
    <t>EMP0187</t>
  </si>
  <si>
    <t>Mary Estes</t>
  </si>
  <si>
    <t>EMP0188</t>
  </si>
  <si>
    <t>Mrs. Beth Suarez</t>
  </si>
  <si>
    <t>EMP0189</t>
  </si>
  <si>
    <t>Andrew Johnson</t>
  </si>
  <si>
    <t>EMP0190</t>
  </si>
  <si>
    <t>Michael Thomas</t>
  </si>
  <si>
    <t>EMP0191</t>
  </si>
  <si>
    <t>Mr. Tyler Gonzalez</t>
  </si>
  <si>
    <t>EMP0192</t>
  </si>
  <si>
    <t>Steven Perez</t>
  </si>
  <si>
    <t>EMP0193</t>
  </si>
  <si>
    <t>Michael Lyons</t>
  </si>
  <si>
    <t>EMP0194</t>
  </si>
  <si>
    <t>Lisa Holmes</t>
  </si>
  <si>
    <t>EMP0195</t>
  </si>
  <si>
    <t>Alexandra Stark</t>
  </si>
  <si>
    <t>EMP0196</t>
  </si>
  <si>
    <t>Stephen Brown</t>
  </si>
  <si>
    <t>EMP0197</t>
  </si>
  <si>
    <t>Sydney Rodriguez</t>
  </si>
  <si>
    <t>EMP0198</t>
  </si>
  <si>
    <t>Dale Ward</t>
  </si>
  <si>
    <t>EMP0199</t>
  </si>
  <si>
    <t>Tracey Rodriguez</t>
  </si>
  <si>
    <t>EMP0200</t>
  </si>
  <si>
    <t>Luke Barnes</t>
  </si>
  <si>
    <t>EMP0201</t>
  </si>
  <si>
    <t>Danielle Klein</t>
  </si>
  <si>
    <t>EMP0202</t>
  </si>
  <si>
    <t>Jordan George</t>
  </si>
  <si>
    <t>EMP0203</t>
  </si>
  <si>
    <t>Wendy Lyons</t>
  </si>
  <si>
    <t>EMP0204</t>
  </si>
  <si>
    <t>Joseph Lane</t>
  </si>
  <si>
    <t>EMP0205</t>
  </si>
  <si>
    <t>Tracy Gallegos</t>
  </si>
  <si>
    <t>EMP0206</t>
  </si>
  <si>
    <t>Paula Lam</t>
  </si>
  <si>
    <t>EMP0207</t>
  </si>
  <si>
    <t>Whitney Roberts</t>
  </si>
  <si>
    <t>EMP0208</t>
  </si>
  <si>
    <t>Paul Tyler</t>
  </si>
  <si>
    <t>EMP0209</t>
  </si>
  <si>
    <t>Kevin Hughes</t>
  </si>
  <si>
    <t>EMP0210</t>
  </si>
  <si>
    <t>Robert Cole</t>
  </si>
  <si>
    <t>EMP0211</t>
  </si>
  <si>
    <t>Cassandra Sanford</t>
  </si>
  <si>
    <t>EMP0212</t>
  </si>
  <si>
    <t>Victoria Alvarez</t>
  </si>
  <si>
    <t>EMP0213</t>
  </si>
  <si>
    <t>Tamara Callahan</t>
  </si>
  <si>
    <t>EMP0214</t>
  </si>
  <si>
    <t>Heidi Morrow</t>
  </si>
  <si>
    <t>EMP0215</t>
  </si>
  <si>
    <t>Shannon Kennedy</t>
  </si>
  <si>
    <t>EMP0216</t>
  </si>
  <si>
    <t>Kellie Kelley</t>
  </si>
  <si>
    <t>EMP0217</t>
  </si>
  <si>
    <t>Jake Rojas</t>
  </si>
  <si>
    <t>EMP0218</t>
  </si>
  <si>
    <t>Blake Moore</t>
  </si>
  <si>
    <t>EMP0219</t>
  </si>
  <si>
    <t>Timothy Gonzalez</t>
  </si>
  <si>
    <t>EMP0220</t>
  </si>
  <si>
    <t>Samantha Mcmahon</t>
  </si>
  <si>
    <t>EMP0221</t>
  </si>
  <si>
    <t>Mary Cohen</t>
  </si>
  <si>
    <t>EMP0222</t>
  </si>
  <si>
    <t>Joseph Brock</t>
  </si>
  <si>
    <t>EMP0223</t>
  </si>
  <si>
    <t>Spencer Gonzales</t>
  </si>
  <si>
    <t>EMP0224</t>
  </si>
  <si>
    <t>Sarah Miller</t>
  </si>
  <si>
    <t>EMP0225</t>
  </si>
  <si>
    <t>Steve Sanford</t>
  </si>
  <si>
    <t>EMP0226</t>
  </si>
  <si>
    <t>Carla Allen</t>
  </si>
  <si>
    <t>EMP0227</t>
  </si>
  <si>
    <t>Rachel Torres</t>
  </si>
  <si>
    <t>EMP0228</t>
  </si>
  <si>
    <t>Deborah Stein</t>
  </si>
  <si>
    <t>EMP0229</t>
  </si>
  <si>
    <t>Jacob Smith</t>
  </si>
  <si>
    <t>EMP0230</t>
  </si>
  <si>
    <t>Thomas Fields</t>
  </si>
  <si>
    <t>EMP0231</t>
  </si>
  <si>
    <t>Jeffrey Gilmore</t>
  </si>
  <si>
    <t>EMP0232</t>
  </si>
  <si>
    <t>Denise Santos</t>
  </si>
  <si>
    <t>EMP0233</t>
  </si>
  <si>
    <t>Joe Stephens</t>
  </si>
  <si>
    <t>EMP0234</t>
  </si>
  <si>
    <t>Linda Johnson</t>
  </si>
  <si>
    <t>EMP0235</t>
  </si>
  <si>
    <t>Lori King</t>
  </si>
  <si>
    <t>EMP0236</t>
  </si>
  <si>
    <t>Eric Rocha</t>
  </si>
  <si>
    <t>EMP0237</t>
  </si>
  <si>
    <t>Victoria Smith</t>
  </si>
  <si>
    <t>EMP0238</t>
  </si>
  <si>
    <t>Jeremy Lyons</t>
  </si>
  <si>
    <t>EMP0239</t>
  </si>
  <si>
    <t>Kristin Mills</t>
  </si>
  <si>
    <t>EMP0240</t>
  </si>
  <si>
    <t>Heidi Moore</t>
  </si>
  <si>
    <t>EMP0241</t>
  </si>
  <si>
    <t>Stephanie Lee</t>
  </si>
  <si>
    <t>EMP0242</t>
  </si>
  <si>
    <t>Nicole Ellis</t>
  </si>
  <si>
    <t>EMP0243</t>
  </si>
  <si>
    <t>Zachary Smith</t>
  </si>
  <si>
    <t>EMP0244</t>
  </si>
  <si>
    <t>Stephen Zimmerman</t>
  </si>
  <si>
    <t>EMP0245</t>
  </si>
  <si>
    <t>Christopher Bentley</t>
  </si>
  <si>
    <t>EMP0246</t>
  </si>
  <si>
    <t>Jasmine Smith</t>
  </si>
  <si>
    <t>EMP0247</t>
  </si>
  <si>
    <t>David Williams</t>
  </si>
  <si>
    <t>EMP0248</t>
  </si>
  <si>
    <t>Miguel Davis</t>
  </si>
  <si>
    <t>EMP0249</t>
  </si>
  <si>
    <t>Joshua West</t>
  </si>
  <si>
    <t>EMP0250</t>
  </si>
  <si>
    <t>Beth Murphy</t>
  </si>
  <si>
    <t>EMP0251</t>
  </si>
  <si>
    <t>Paul Ellis</t>
  </si>
  <si>
    <t>EMP0252</t>
  </si>
  <si>
    <t>Edward Ramos</t>
  </si>
  <si>
    <t>EMP0253</t>
  </si>
  <si>
    <t>Michelle Turner</t>
  </si>
  <si>
    <t>EMP0254</t>
  </si>
  <si>
    <t>Rachel Pearson</t>
  </si>
  <si>
    <t>EMP0255</t>
  </si>
  <si>
    <t>Whitney Jackson</t>
  </si>
  <si>
    <t>EMP0256</t>
  </si>
  <si>
    <t>Karen Townsend</t>
  </si>
  <si>
    <t>EMP0257</t>
  </si>
  <si>
    <t>Jillian Perry</t>
  </si>
  <si>
    <t>EMP0258</t>
  </si>
  <si>
    <t>Harold Huffman</t>
  </si>
  <si>
    <t>EMP0259</t>
  </si>
  <si>
    <t>Matthew Stout</t>
  </si>
  <si>
    <t>EMP0260</t>
  </si>
  <si>
    <t>Stephen Palmer</t>
  </si>
  <si>
    <t>EMP0261</t>
  </si>
  <si>
    <t>Veronica Morton</t>
  </si>
  <si>
    <t>EMP0262</t>
  </si>
  <si>
    <t>Brooke Gonzalez</t>
  </si>
  <si>
    <t>EMP0263</t>
  </si>
  <si>
    <t>Shane Hart</t>
  </si>
  <si>
    <t>EMP0264</t>
  </si>
  <si>
    <t>Tonya Brown</t>
  </si>
  <si>
    <t>EMP0265</t>
  </si>
  <si>
    <t>Matthew Higgins</t>
  </si>
  <si>
    <t>EMP0266</t>
  </si>
  <si>
    <t>Alicia Mullen</t>
  </si>
  <si>
    <t>EMP0267</t>
  </si>
  <si>
    <t>Curtis Walker</t>
  </si>
  <si>
    <t>EMP0268</t>
  </si>
  <si>
    <t>Kimberly Gay</t>
  </si>
  <si>
    <t>EMP0269</t>
  </si>
  <si>
    <t>Melanie Bell</t>
  </si>
  <si>
    <t>EMP0270</t>
  </si>
  <si>
    <t>Michele Welch</t>
  </si>
  <si>
    <t>EMP0271</t>
  </si>
  <si>
    <t>Carla Chan</t>
  </si>
  <si>
    <t>EMP0272</t>
  </si>
  <si>
    <t>Diane Stephenson</t>
  </si>
  <si>
    <t>EMP0273</t>
  </si>
  <si>
    <t>Kelsey Beck</t>
  </si>
  <si>
    <t>EMP0274</t>
  </si>
  <si>
    <t>Sheryl Martin</t>
  </si>
  <si>
    <t>EMP0275</t>
  </si>
  <si>
    <t>David Jenkins</t>
  </si>
  <si>
    <t>EMP0276</t>
  </si>
  <si>
    <t>Brenda Ochoa</t>
  </si>
  <si>
    <t>EMP0277</t>
  </si>
  <si>
    <t>Charles Gutierrez</t>
  </si>
  <si>
    <t>EMP0278</t>
  </si>
  <si>
    <t>Natasha Cervantes</t>
  </si>
  <si>
    <t>EMP0279</t>
  </si>
  <si>
    <t>Candice Padilla</t>
  </si>
  <si>
    <t>EMP0280</t>
  </si>
  <si>
    <t>Debra Baird</t>
  </si>
  <si>
    <t>EMP0281</t>
  </si>
  <si>
    <t>Latoya Buckley</t>
  </si>
  <si>
    <t>EMP0282</t>
  </si>
  <si>
    <t>John Brooks</t>
  </si>
  <si>
    <t>EMP0283</t>
  </si>
  <si>
    <t>Rachel Wilson</t>
  </si>
  <si>
    <t>EMP0284</t>
  </si>
  <si>
    <t>Marcus Sullivan</t>
  </si>
  <si>
    <t>EMP0285</t>
  </si>
  <si>
    <t>Cheryl Cummings</t>
  </si>
  <si>
    <t>EMP0286</t>
  </si>
  <si>
    <t>Joshua Downs</t>
  </si>
  <si>
    <t>EMP0287</t>
  </si>
  <si>
    <t>William Richardson</t>
  </si>
  <si>
    <t>EMP0288</t>
  </si>
  <si>
    <t>Tracy Nichols</t>
  </si>
  <si>
    <t>EMP0289</t>
  </si>
  <si>
    <t>Connie Martin</t>
  </si>
  <si>
    <t>EMP0290</t>
  </si>
  <si>
    <t>Marc Nunez</t>
  </si>
  <si>
    <t>EMP0291</t>
  </si>
  <si>
    <t>Mark Miller</t>
  </si>
  <si>
    <t>EMP0292</t>
  </si>
  <si>
    <t>Christopher Orozco</t>
  </si>
  <si>
    <t>EMP0293</t>
  </si>
  <si>
    <t>Kyle Soto</t>
  </si>
  <si>
    <t>EMP0294</t>
  </si>
  <si>
    <t>Corey Ward</t>
  </si>
  <si>
    <t>EMP0295</t>
  </si>
  <si>
    <t>Amanda Mendez</t>
  </si>
  <si>
    <t>EMP0296</t>
  </si>
  <si>
    <t>Mitchell Richards</t>
  </si>
  <si>
    <t>EMP0297</t>
  </si>
  <si>
    <t>Kimberly Turner</t>
  </si>
  <si>
    <t>EMP0298</t>
  </si>
  <si>
    <t>Kimberly Lynn</t>
  </si>
  <si>
    <t>EMP0299</t>
  </si>
  <si>
    <t>Laura Marshall</t>
  </si>
  <si>
    <t>EMP0300</t>
  </si>
  <si>
    <t>Catherine Austin</t>
  </si>
  <si>
    <t>EMP0301</t>
  </si>
  <si>
    <t>Miss Olivia Barr</t>
  </si>
  <si>
    <t>EMP0302</t>
  </si>
  <si>
    <t>Lori Mitchell</t>
  </si>
  <si>
    <t>EMP0303</t>
  </si>
  <si>
    <t>Brenda Ferguson</t>
  </si>
  <si>
    <t>EMP0304</t>
  </si>
  <si>
    <t>Joseph Clarke</t>
  </si>
  <si>
    <t>EMP0305</t>
  </si>
  <si>
    <t>Pamela Graves</t>
  </si>
  <si>
    <t>EMP0306</t>
  </si>
  <si>
    <t>Shaun Garrett</t>
  </si>
  <si>
    <t>EMP0307</t>
  </si>
  <si>
    <t>Heidi Butler</t>
  </si>
  <si>
    <t>EMP0308</t>
  </si>
  <si>
    <t>Selena Bennett</t>
  </si>
  <si>
    <t>EMP0309</t>
  </si>
  <si>
    <t>Savannah Johnson</t>
  </si>
  <si>
    <t>EMP0310</t>
  </si>
  <si>
    <t>Ryan Clay</t>
  </si>
  <si>
    <t>EMP0311</t>
  </si>
  <si>
    <t>Edward Carpenter</t>
  </si>
  <si>
    <t>EMP0312</t>
  </si>
  <si>
    <t>Amy Thompson</t>
  </si>
  <si>
    <t>EMP0313</t>
  </si>
  <si>
    <t>Bryan Garner</t>
  </si>
  <si>
    <t>EMP0314</t>
  </si>
  <si>
    <t>John Curry</t>
  </si>
  <si>
    <t>EMP0315</t>
  </si>
  <si>
    <t>Philip Day</t>
  </si>
  <si>
    <t>EMP0316</t>
  </si>
  <si>
    <t>Carmen Edwards</t>
  </si>
  <si>
    <t>EMP0317</t>
  </si>
  <si>
    <t>Robin Warren</t>
  </si>
  <si>
    <t>EMP0318</t>
  </si>
  <si>
    <t>Anita Myers</t>
  </si>
  <si>
    <t>EMP0319</t>
  </si>
  <si>
    <t>Terry Hughes</t>
  </si>
  <si>
    <t>EMP0320</t>
  </si>
  <si>
    <t>Steven Shepherd</t>
  </si>
  <si>
    <t>EMP0321</t>
  </si>
  <si>
    <t>Michael Harper</t>
  </si>
  <si>
    <t>EMP0322</t>
  </si>
  <si>
    <t>Jacqueline Johnson</t>
  </si>
  <si>
    <t>EMP0323</t>
  </si>
  <si>
    <t>Angela Adams</t>
  </si>
  <si>
    <t>EMP0324</t>
  </si>
  <si>
    <t>Kelli Solis</t>
  </si>
  <si>
    <t>EMP0325</t>
  </si>
  <si>
    <t>Justin Silva</t>
  </si>
  <si>
    <t>EMP0326</t>
  </si>
  <si>
    <t>Stephanie Powell</t>
  </si>
  <si>
    <t>EMP0327</t>
  </si>
  <si>
    <t>Margaret Campbell</t>
  </si>
  <si>
    <t>EMP0328</t>
  </si>
  <si>
    <t>Tyrone Adkins</t>
  </si>
  <si>
    <t>EMP0329</t>
  </si>
  <si>
    <t>Michael Martinez</t>
  </si>
  <si>
    <t>EMP0330</t>
  </si>
  <si>
    <t>Kevin Fitzgerald</t>
  </si>
  <si>
    <t>EMP0331</t>
  </si>
  <si>
    <t>Daniel Carter</t>
  </si>
  <si>
    <t>EMP0332</t>
  </si>
  <si>
    <t>Lisa Hampton</t>
  </si>
  <si>
    <t>EMP0333</t>
  </si>
  <si>
    <t>Brittany Buckley</t>
  </si>
  <si>
    <t>EMP0334</t>
  </si>
  <si>
    <t>Emily Perry</t>
  </si>
  <si>
    <t>EMP0335</t>
  </si>
  <si>
    <t>Elizabeth Lee</t>
  </si>
  <si>
    <t>EMP0336</t>
  </si>
  <si>
    <t>Jennifer Vargas</t>
  </si>
  <si>
    <t>EMP0337</t>
  </si>
  <si>
    <t>Ryan Kelly</t>
  </si>
  <si>
    <t>EMP0338</t>
  </si>
  <si>
    <t>Mckenzie Murphy</t>
  </si>
  <si>
    <t>EMP0339</t>
  </si>
  <si>
    <t>Paul Wright</t>
  </si>
  <si>
    <t>EMP0340</t>
  </si>
  <si>
    <t>Michael Roach</t>
  </si>
  <si>
    <t>EMP0341</t>
  </si>
  <si>
    <t>David Davis</t>
  </si>
  <si>
    <t>EMP0342</t>
  </si>
  <si>
    <t>Danielle Christian</t>
  </si>
  <si>
    <t>EMP0343</t>
  </si>
  <si>
    <t>Olivia Walker</t>
  </si>
  <si>
    <t>EMP0344</t>
  </si>
  <si>
    <t>Cheyenne Williams</t>
  </si>
  <si>
    <t>EMP0345</t>
  </si>
  <si>
    <t>Sharon Huynh</t>
  </si>
  <si>
    <t>EMP0346</t>
  </si>
  <si>
    <t>Shannon Huber</t>
  </si>
  <si>
    <t>EMP0347</t>
  </si>
  <si>
    <t>Melissa Johnson</t>
  </si>
  <si>
    <t>EMP0348</t>
  </si>
  <si>
    <t>Jeremiah Garcia</t>
  </si>
  <si>
    <t>EMP0349</t>
  </si>
  <si>
    <t>Zachary Pitts</t>
  </si>
  <si>
    <t>EMP0350</t>
  </si>
  <si>
    <t>Joshua Wright</t>
  </si>
  <si>
    <t>EMP0351</t>
  </si>
  <si>
    <t>Cheryl Washington</t>
  </si>
  <si>
    <t>EMP0352</t>
  </si>
  <si>
    <t>Debbie Vazquez</t>
  </si>
  <si>
    <t>EMP0353</t>
  </si>
  <si>
    <t>Roy Martin</t>
  </si>
  <si>
    <t>EMP0354</t>
  </si>
  <si>
    <t>Robert Nelson</t>
  </si>
  <si>
    <t>EMP0355</t>
  </si>
  <si>
    <t>Daniel Williams</t>
  </si>
  <si>
    <t>EMP0356</t>
  </si>
  <si>
    <t>Zachary Welch</t>
  </si>
  <si>
    <t>EMP0357</t>
  </si>
  <si>
    <t>Jerome Horton</t>
  </si>
  <si>
    <t>EMP0358</t>
  </si>
  <si>
    <t>Juan Baker</t>
  </si>
  <si>
    <t>EMP0359</t>
  </si>
  <si>
    <t>Charles Smith</t>
  </si>
  <si>
    <t>EMP0360</t>
  </si>
  <si>
    <t>Arthur May</t>
  </si>
  <si>
    <t>EMP0361</t>
  </si>
  <si>
    <t>Seth Pearson</t>
  </si>
  <si>
    <t>EMP0362</t>
  </si>
  <si>
    <t>John Montgomery</t>
  </si>
  <si>
    <t>EMP0363</t>
  </si>
  <si>
    <t>Gregory Nichols</t>
  </si>
  <si>
    <t>EMP0364</t>
  </si>
  <si>
    <t>Eric Tucker</t>
  </si>
  <si>
    <t>EMP0365</t>
  </si>
  <si>
    <t>Robin Page</t>
  </si>
  <si>
    <t>EMP0366</t>
  </si>
  <si>
    <t>Jim Kelley</t>
  </si>
  <si>
    <t>EMP0367</t>
  </si>
  <si>
    <t>Veronica Barnes</t>
  </si>
  <si>
    <t>EMP0368</t>
  </si>
  <si>
    <t>Joshua Gonzales</t>
  </si>
  <si>
    <t>EMP0369</t>
  </si>
  <si>
    <t>Jessica Hall</t>
  </si>
  <si>
    <t>EMP0370</t>
  </si>
  <si>
    <t>Samantha Walsh</t>
  </si>
  <si>
    <t>EMP0371</t>
  </si>
  <si>
    <t>Rebekah Miranda</t>
  </si>
  <si>
    <t>EMP0372</t>
  </si>
  <si>
    <t>Stephanie Horton</t>
  </si>
  <si>
    <t>EMP0373</t>
  </si>
  <si>
    <t>Kara Krause</t>
  </si>
  <si>
    <t>EMP0374</t>
  </si>
  <si>
    <t>Charles Hernandez</t>
  </si>
  <si>
    <t>EMP0375</t>
  </si>
  <si>
    <t>Mrs. Julia Howard MD</t>
  </si>
  <si>
    <t>EMP0376</t>
  </si>
  <si>
    <t>Matthew Sharp</t>
  </si>
  <si>
    <t>EMP0377</t>
  </si>
  <si>
    <t>Joe Holden</t>
  </si>
  <si>
    <t>EMP0378</t>
  </si>
  <si>
    <t>Roberto Griffin</t>
  </si>
  <si>
    <t>EMP0379</t>
  </si>
  <si>
    <t>Joseph Gomez</t>
  </si>
  <si>
    <t>EMP0380</t>
  </si>
  <si>
    <t>Jamie Terry</t>
  </si>
  <si>
    <t>EMP0381</t>
  </si>
  <si>
    <t>Jesse King</t>
  </si>
  <si>
    <t>EMP0382</t>
  </si>
  <si>
    <t>Nicholas Jones</t>
  </si>
  <si>
    <t>EMP0383</t>
  </si>
  <si>
    <t>Keith Juarez</t>
  </si>
  <si>
    <t>EMP0384</t>
  </si>
  <si>
    <t>Megan Tucker</t>
  </si>
  <si>
    <t>EMP0385</t>
  </si>
  <si>
    <t>Ellen Stevens</t>
  </si>
  <si>
    <t>EMP0386</t>
  </si>
  <si>
    <t>Ashley Petty</t>
  </si>
  <si>
    <t>EMP0387</t>
  </si>
  <si>
    <t>Mindy Liu</t>
  </si>
  <si>
    <t>EMP0388</t>
  </si>
  <si>
    <t>Dr. Tiffany Wells</t>
  </si>
  <si>
    <t>EMP0389</t>
  </si>
  <si>
    <t>Dean Neal</t>
  </si>
  <si>
    <t>EMP0390</t>
  </si>
  <si>
    <t>Danielle Schultz</t>
  </si>
  <si>
    <t>EMP0391</t>
  </si>
  <si>
    <t>Tracy Matthews</t>
  </si>
  <si>
    <t>EMP0392</t>
  </si>
  <si>
    <t>John Ramirez</t>
  </si>
  <si>
    <t>EMP0393</t>
  </si>
  <si>
    <t>Keith Hartman</t>
  </si>
  <si>
    <t>EMP0394</t>
  </si>
  <si>
    <t>Jared Powers</t>
  </si>
  <si>
    <t>EMP0395</t>
  </si>
  <si>
    <t>Chelsea Hernandez</t>
  </si>
  <si>
    <t>EMP0396</t>
  </si>
  <si>
    <t>Luke Powell</t>
  </si>
  <si>
    <t>EMP0397</t>
  </si>
  <si>
    <t>Samantha Young</t>
  </si>
  <si>
    <t>EMP0398</t>
  </si>
  <si>
    <t>Alyssa Jones</t>
  </si>
  <si>
    <t>EMP0399</t>
  </si>
  <si>
    <t>Paul Juarez</t>
  </si>
  <si>
    <t>EMP0400</t>
  </si>
  <si>
    <t>Amber Oconnor</t>
  </si>
  <si>
    <t>EMP0401</t>
  </si>
  <si>
    <t>Jacob Rivera</t>
  </si>
  <si>
    <t>EMP0402</t>
  </si>
  <si>
    <t>Christopher Cole</t>
  </si>
  <si>
    <t>EMP0403</t>
  </si>
  <si>
    <t>Jeremiah Bright</t>
  </si>
  <si>
    <t>EMP0404</t>
  </si>
  <si>
    <t>Heather Flores</t>
  </si>
  <si>
    <t>EMP0405</t>
  </si>
  <si>
    <t>James Huff</t>
  </si>
  <si>
    <t>EMP0406</t>
  </si>
  <si>
    <t>Carla Burke</t>
  </si>
  <si>
    <t>EMP0407</t>
  </si>
  <si>
    <t>Melissa Wilson</t>
  </si>
  <si>
    <t>EMP0408</t>
  </si>
  <si>
    <t>Rachel Yates</t>
  </si>
  <si>
    <t>EMP0409</t>
  </si>
  <si>
    <t>Susan Jackson</t>
  </si>
  <si>
    <t>EMP0410</t>
  </si>
  <si>
    <t>Donald Green</t>
  </si>
  <si>
    <t>EMP0411</t>
  </si>
  <si>
    <t>Eric Pratt</t>
  </si>
  <si>
    <t>EMP0412</t>
  </si>
  <si>
    <t>Gregory Hall</t>
  </si>
  <si>
    <t>EMP0413</t>
  </si>
  <si>
    <t>EMP0414</t>
  </si>
  <si>
    <t>Scott Jones</t>
  </si>
  <si>
    <t>EMP0415</t>
  </si>
  <si>
    <t>Katie Evans</t>
  </si>
  <si>
    <t>EMP0416</t>
  </si>
  <si>
    <t>Kimberly Matthews</t>
  </si>
  <si>
    <t>EMP0417</t>
  </si>
  <si>
    <t>Annette Williams</t>
  </si>
  <si>
    <t>EMP0418</t>
  </si>
  <si>
    <t>Shelby Chan</t>
  </si>
  <si>
    <t>EMP0419</t>
  </si>
  <si>
    <t>Kristin Miller</t>
  </si>
  <si>
    <t>EMP0420</t>
  </si>
  <si>
    <t>Deanna Atkinson</t>
  </si>
  <si>
    <t>EMP0421</t>
  </si>
  <si>
    <t>Susan Parker MD</t>
  </si>
  <si>
    <t>EMP0422</t>
  </si>
  <si>
    <t>Mary Brown</t>
  </si>
  <si>
    <t>EMP0423</t>
  </si>
  <si>
    <t>Jonathan Floyd</t>
  </si>
  <si>
    <t>EMP0424</t>
  </si>
  <si>
    <t>Jacqueline Park</t>
  </si>
  <si>
    <t>EMP0425</t>
  </si>
  <si>
    <t>Christine Jones</t>
  </si>
  <si>
    <t>EMP0426</t>
  </si>
  <si>
    <t>Karen Kennedy</t>
  </si>
  <si>
    <t>EMP0427</t>
  </si>
  <si>
    <t>Glenn Hawkins</t>
  </si>
  <si>
    <t>EMP0428</t>
  </si>
  <si>
    <t>Kayla Brooks</t>
  </si>
  <si>
    <t>EMP0429</t>
  </si>
  <si>
    <t>Jon Woodard</t>
  </si>
  <si>
    <t>EMP0430</t>
  </si>
  <si>
    <t>Donald Brown</t>
  </si>
  <si>
    <t>EMP0431</t>
  </si>
  <si>
    <t>John Brown</t>
  </si>
  <si>
    <t>EMP0432</t>
  </si>
  <si>
    <t>Jeremy Spears</t>
  </si>
  <si>
    <t>EMP0433</t>
  </si>
  <si>
    <t>Julie Flores</t>
  </si>
  <si>
    <t>EMP0434</t>
  </si>
  <si>
    <t>Dr. Barbara Bennett</t>
  </si>
  <si>
    <t>EMP0435</t>
  </si>
  <si>
    <t>Ethan Brady</t>
  </si>
  <si>
    <t>EMP0436</t>
  </si>
  <si>
    <t>Isaiah Ross</t>
  </si>
  <si>
    <t>EMP0437</t>
  </si>
  <si>
    <t>Haley Allen</t>
  </si>
  <si>
    <t>EMP0438</t>
  </si>
  <si>
    <t>Laura Carson</t>
  </si>
  <si>
    <t>EMP0439</t>
  </si>
  <si>
    <t>Clayton Reed</t>
  </si>
  <si>
    <t>EMP0440</t>
  </si>
  <si>
    <t>Alison Miller</t>
  </si>
  <si>
    <t>EMP0441</t>
  </si>
  <si>
    <t>Edwin Silva</t>
  </si>
  <si>
    <t>EMP0442</t>
  </si>
  <si>
    <t>Michael King</t>
  </si>
  <si>
    <t>EMP0443</t>
  </si>
  <si>
    <t>Joann Houston</t>
  </si>
  <si>
    <t>EMP0444</t>
  </si>
  <si>
    <t>Katherine Rodriguez</t>
  </si>
  <si>
    <t>EMP0445</t>
  </si>
  <si>
    <t>Amanda Willis</t>
  </si>
  <si>
    <t>EMP0446</t>
  </si>
  <si>
    <t>Erica Anderson</t>
  </si>
  <si>
    <t>EMP0447</t>
  </si>
  <si>
    <t>Lisa Odonnell</t>
  </si>
  <si>
    <t>EMP0448</t>
  </si>
  <si>
    <t>Lisa Gutierrez</t>
  </si>
  <si>
    <t>EMP0449</t>
  </si>
  <si>
    <t>Anthony Baker</t>
  </si>
  <si>
    <t>EMP0450</t>
  </si>
  <si>
    <t>Julie Wong</t>
  </si>
  <si>
    <t>EMP0451</t>
  </si>
  <si>
    <t>Jessica Cooley</t>
  </si>
  <si>
    <t>EMP0452</t>
  </si>
  <si>
    <t>Erika Cruz</t>
  </si>
  <si>
    <t>EMP0453</t>
  </si>
  <si>
    <t>Ryan Zhang</t>
  </si>
  <si>
    <t>EMP0454</t>
  </si>
  <si>
    <t>Andrew Burns</t>
  </si>
  <si>
    <t>EMP0455</t>
  </si>
  <si>
    <t>Matthew Walters</t>
  </si>
  <si>
    <t>EMP0456</t>
  </si>
  <si>
    <t>Kyle Sanchez</t>
  </si>
  <si>
    <t>EMP0457</t>
  </si>
  <si>
    <t>Michelle Brennan</t>
  </si>
  <si>
    <t>EMP0458</t>
  </si>
  <si>
    <t>Wesley Payne</t>
  </si>
  <si>
    <t>EMP0459</t>
  </si>
  <si>
    <t>Nicole Peck</t>
  </si>
  <si>
    <t>EMP0460</t>
  </si>
  <si>
    <t>Denise Edwards</t>
  </si>
  <si>
    <t>EMP0461</t>
  </si>
  <si>
    <t>Christina Hunt</t>
  </si>
  <si>
    <t>EMP0462</t>
  </si>
  <si>
    <t>Jamie Espinoza</t>
  </si>
  <si>
    <t>EMP0463</t>
  </si>
  <si>
    <t>Roger Elliott</t>
  </si>
  <si>
    <t>EMP0464</t>
  </si>
  <si>
    <t>Beth Odom</t>
  </si>
  <si>
    <t>EMP0465</t>
  </si>
  <si>
    <t>Allison Berg</t>
  </si>
  <si>
    <t>EMP0466</t>
  </si>
  <si>
    <t>Elizabeth Swanson</t>
  </si>
  <si>
    <t>EMP0467</t>
  </si>
  <si>
    <t>Lisa King</t>
  </si>
  <si>
    <t>EMP0468</t>
  </si>
  <si>
    <t>Keith Salas</t>
  </si>
  <si>
    <t>EMP0469</t>
  </si>
  <si>
    <t>Stephanie Middleton</t>
  </si>
  <si>
    <t>EMP0470</t>
  </si>
  <si>
    <t>Raymond Wilkinson</t>
  </si>
  <si>
    <t>EMP0471</t>
  </si>
  <si>
    <t>Angelica Smith</t>
  </si>
  <si>
    <t>EMP0472</t>
  </si>
  <si>
    <t>Michael Wells</t>
  </si>
  <si>
    <t>EMP0473</t>
  </si>
  <si>
    <t>Joseph Ramirez</t>
  </si>
  <si>
    <t>EMP0474</t>
  </si>
  <si>
    <t>Erin Farrell</t>
  </si>
  <si>
    <t>EMP0475</t>
  </si>
  <si>
    <t>Robin Fowler</t>
  </si>
  <si>
    <t>EMP0476</t>
  </si>
  <si>
    <t>Paul Yoder</t>
  </si>
  <si>
    <t>EMP0477</t>
  </si>
  <si>
    <t>Tiffany Wilson</t>
  </si>
  <si>
    <t>EMP0478</t>
  </si>
  <si>
    <t>Ryan White</t>
  </si>
  <si>
    <t>EMP0479</t>
  </si>
  <si>
    <t>George Thomas</t>
  </si>
  <si>
    <t>EMP0480</t>
  </si>
  <si>
    <t>Matthew Oneal</t>
  </si>
  <si>
    <t>EMP0481</t>
  </si>
  <si>
    <t>Heather Morgan</t>
  </si>
  <si>
    <t>EMP0482</t>
  </si>
  <si>
    <t>Laura Robinson</t>
  </si>
  <si>
    <t>EMP0483</t>
  </si>
  <si>
    <t>Emily Kim</t>
  </si>
  <si>
    <t>EMP0484</t>
  </si>
  <si>
    <t>Julia Holmes</t>
  </si>
  <si>
    <t>EMP0485</t>
  </si>
  <si>
    <t>Brian Sanders</t>
  </si>
  <si>
    <t>EMP0486</t>
  </si>
  <si>
    <t>Natalie Rich</t>
  </si>
  <si>
    <t>EMP0487</t>
  </si>
  <si>
    <t>Michael Kramer</t>
  </si>
  <si>
    <t>EMP0488</t>
  </si>
  <si>
    <t>Carlos Kane</t>
  </si>
  <si>
    <t>EMP0489</t>
  </si>
  <si>
    <t>Miguel Flores</t>
  </si>
  <si>
    <t>EMP0490</t>
  </si>
  <si>
    <t>Robert Pham</t>
  </si>
  <si>
    <t>EMP0491</t>
  </si>
  <si>
    <t>Adriana Gomez</t>
  </si>
  <si>
    <t>EMP0492</t>
  </si>
  <si>
    <t>Kevin Ferguson</t>
  </si>
  <si>
    <t>EMP0493</t>
  </si>
  <si>
    <t>Tonya Rivera</t>
  </si>
  <si>
    <t>EMP0494</t>
  </si>
  <si>
    <t>Johnny Wilson</t>
  </si>
  <si>
    <t>EMP0495</t>
  </si>
  <si>
    <t>Anna Munoz</t>
  </si>
  <si>
    <t>EMP0496</t>
  </si>
  <si>
    <t>Brenda Ross</t>
  </si>
  <si>
    <t>EMP0497</t>
  </si>
  <si>
    <t>Veronica Wright</t>
  </si>
  <si>
    <t>EMP0498</t>
  </si>
  <si>
    <t>David Porter</t>
  </si>
  <si>
    <t>EMP0499</t>
  </si>
  <si>
    <t>Norman Hopkins</t>
  </si>
  <si>
    <t>EMP0500</t>
  </si>
  <si>
    <t>Briana Miller MD</t>
  </si>
  <si>
    <t>Job Level</t>
  </si>
  <si>
    <t>Mid Level</t>
  </si>
  <si>
    <t>Manager</t>
  </si>
  <si>
    <t>Entry Level</t>
  </si>
  <si>
    <t>1.total of Salary</t>
  </si>
  <si>
    <t>Total Salary</t>
  </si>
  <si>
    <t>2.total of employees</t>
  </si>
  <si>
    <t>Count of Employee ID</t>
  </si>
  <si>
    <t>3.total of Locations</t>
  </si>
  <si>
    <t>Row Labels</t>
  </si>
  <si>
    <t>Grand Total</t>
  </si>
  <si>
    <t>4.total of Department</t>
  </si>
  <si>
    <t>5. salary for location</t>
  </si>
  <si>
    <t>Avg Of Salary</t>
  </si>
  <si>
    <t>7. salary for Department</t>
  </si>
  <si>
    <t>8. salary for Education</t>
  </si>
  <si>
    <t>9. salary for Experince</t>
  </si>
  <si>
    <t>10.top 10 of Jops</t>
  </si>
  <si>
    <t>Distinct Count of Location</t>
  </si>
  <si>
    <t>Distinct Count of Department</t>
  </si>
  <si>
    <t>5.total of jops</t>
  </si>
  <si>
    <t>Distinct Count of 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</si>
</sst>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quot;EGP&quot;;\-#,##0\ &quot;EGP&quot;;#,##0\ &quot;EGP&quot;"/>
    <numFmt numFmtId="176" formatCode="#,##0\ &quot;EGP&quot;"/>
  </numFmts>
  <fonts count="1" x14ac:knownFonts="1">
    <font>
      <sz val="11"/>
      <color theme="1"/>
      <name val="Aptos Narrow"/>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176" fontId="0" fillId="0" borderId="0" xfId="0" applyNumberFormat="1" applyAlignment="1">
      <alignment readingOrder="1"/>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B463391C-619A-430B-8921-71BFE7D9131B}"/>
  </tableStyles>
  <colors>
    <mruColors>
      <color rgb="FF1D55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4.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Hr Salaries Excel.xlsx]Pivot Table Analysis!Salary For Location</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Salary By Location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0573538351613"/>
          <c:y val="0.20503040353786622"/>
          <c:w val="0.57082724703319876"/>
          <c:h val="0.73416252072968491"/>
        </c:manualLayout>
      </c:layout>
      <c:barChart>
        <c:barDir val="bar"/>
        <c:grouping val="clustered"/>
        <c:varyColors val="0"/>
        <c:ser>
          <c:idx val="0"/>
          <c:order val="0"/>
          <c:tx>
            <c:strRef>
              <c:f>'Pivot Table Analysis'!$F$4</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Analysis'!$E$5:$E$12</c:f>
              <c:strCache>
                <c:ptCount val="7"/>
                <c:pt idx="0">
                  <c:v>Denver</c:v>
                </c:pt>
                <c:pt idx="1">
                  <c:v>Fort Worth</c:v>
                </c:pt>
                <c:pt idx="2">
                  <c:v>Houston</c:v>
                </c:pt>
                <c:pt idx="3">
                  <c:v>Indianapolis</c:v>
                </c:pt>
                <c:pt idx="4">
                  <c:v>Philadelphia</c:v>
                </c:pt>
                <c:pt idx="5">
                  <c:v>San Jose</c:v>
                </c:pt>
                <c:pt idx="6">
                  <c:v>Seattle</c:v>
                </c:pt>
              </c:strCache>
            </c:strRef>
          </c:cat>
          <c:val>
            <c:numRef>
              <c:f>'Pivot Table Analysis'!$F$5:$F$12</c:f>
              <c:numCache>
                <c:formatCode>#,##0\ "EGP";\-#,##0\ "EGP";#,##0\ "EGP"</c:formatCode>
                <c:ptCount val="7"/>
                <c:pt idx="0">
                  <c:v>9730.8533333333326</c:v>
                </c:pt>
                <c:pt idx="1">
                  <c:v>9926.818181818182</c:v>
                </c:pt>
                <c:pt idx="2">
                  <c:v>9648.4696969696961</c:v>
                </c:pt>
                <c:pt idx="3">
                  <c:v>10570.546875</c:v>
                </c:pt>
                <c:pt idx="4">
                  <c:v>9624.4025974025972</c:v>
                </c:pt>
                <c:pt idx="5">
                  <c:v>10275.313432835821</c:v>
                </c:pt>
                <c:pt idx="6">
                  <c:v>9805.9324324324316</c:v>
                </c:pt>
              </c:numCache>
            </c:numRef>
          </c:val>
          <c:extLst>
            <c:ext xmlns:c16="http://schemas.microsoft.com/office/drawing/2014/chart" uri="{C3380CC4-5D6E-409C-BE32-E72D297353CC}">
              <c16:uniqueId val="{00000012-D7F2-46F8-AF5D-0DFCA7D73394}"/>
            </c:ext>
          </c:extLst>
        </c:ser>
        <c:dLbls>
          <c:dLblPos val="outEnd"/>
          <c:showLegendKey val="0"/>
          <c:showVal val="1"/>
          <c:showCatName val="0"/>
          <c:showSerName val="0"/>
          <c:showPercent val="0"/>
          <c:showBubbleSize val="0"/>
        </c:dLbls>
        <c:gapWidth val="269"/>
        <c:overlap val="-20"/>
        <c:axId val="180813071"/>
        <c:axId val="180813551"/>
      </c:barChart>
      <c:catAx>
        <c:axId val="18081307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0813551"/>
        <c:crosses val="autoZero"/>
        <c:auto val="1"/>
        <c:lblAlgn val="ctr"/>
        <c:lblOffset val="100"/>
        <c:noMultiLvlLbl val="0"/>
      </c:catAx>
      <c:valAx>
        <c:axId val="180813551"/>
        <c:scaling>
          <c:orientation val="minMax"/>
        </c:scaling>
        <c:delete val="1"/>
        <c:axPos val="b"/>
        <c:majorGridlines>
          <c:spPr>
            <a:ln w="9525" cap="flat" cmpd="sng" algn="ctr">
              <a:solidFill>
                <a:schemeClr val="lt1">
                  <a:alpha val="25000"/>
                </a:schemeClr>
              </a:solidFill>
              <a:round/>
            </a:ln>
            <a:effectLst/>
          </c:spPr>
        </c:majorGridlines>
        <c:numFmt formatCode="#,##0\ &quot;EGP&quot;;\-#,##0\ &quot;EGP&quot;;#,##0\ &quot;EGP&quot;" sourceLinked="1"/>
        <c:majorTickMark val="none"/>
        <c:minorTickMark val="none"/>
        <c:tickLblPos val="nextTo"/>
        <c:crossAx val="18081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Hr Salaries Excel.xlsx]Pivot Table Analysis!Salary for Dept</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Salary For Every Department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dLbl>
          <c:idx val="0"/>
          <c:layout>
            <c:manualLayout>
              <c:x val="0"/>
              <c:y val="-1.6611295681063124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35243155581162"/>
          <c:y val="0.20537098560354378"/>
          <c:w val="0.75034675543605833"/>
          <c:h val="0.73372093023255813"/>
        </c:manualLayout>
      </c:layout>
      <c:barChart>
        <c:barDir val="bar"/>
        <c:grouping val="clustered"/>
        <c:varyColors val="0"/>
        <c:ser>
          <c:idx val="0"/>
          <c:order val="0"/>
          <c:tx>
            <c:strRef>
              <c:f>'Pivot Table Analysis'!$F$19</c:f>
              <c:strCache>
                <c:ptCount val="1"/>
                <c:pt idx="0">
                  <c:v>Total</c:v>
                </c:pt>
              </c:strCache>
            </c:strRef>
          </c:tx>
          <c:spPr>
            <a:pattFill prst="ltUpDiag">
              <a:fgClr>
                <a:schemeClr val="accent1"/>
              </a:fgClr>
              <a:bgClr>
                <a:schemeClr val="lt1"/>
              </a:bgClr>
            </a:pattFill>
            <a:ln>
              <a:noFill/>
            </a:ln>
            <a:effectLst/>
          </c:spPr>
          <c:invertIfNegative val="0"/>
          <c:dLbls>
            <c:dLbl>
              <c:idx val="0"/>
              <c:layout>
                <c:manualLayout>
                  <c:x val="0"/>
                  <c:y val="-1.6611295681063124E-2"/>
                </c:manualLayout>
              </c:layout>
              <c:dLblPos val="outEnd"/>
              <c:showLegendKey val="0"/>
              <c:showVal val="1"/>
              <c:showCatName val="0"/>
              <c:showSerName val="0"/>
              <c:showPercent val="0"/>
              <c:showBubbleSize val="0"/>
              <c:extLst>
                <c:ext xmlns:c15="http://schemas.microsoft.com/office/drawing/2012/chart" uri="{CE6537A1-D6FC-4f65-9D91-7224C49458BB}"/>
              </c:extLst>
            </c:dLbl>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Analysis'!$E$20:$E$27</c:f>
              <c:strCache>
                <c:ptCount val="7"/>
                <c:pt idx="0">
                  <c:v>Finance</c:v>
                </c:pt>
                <c:pt idx="1">
                  <c:v>HR</c:v>
                </c:pt>
                <c:pt idx="2">
                  <c:v>IT</c:v>
                </c:pt>
                <c:pt idx="3">
                  <c:v>Marketing</c:v>
                </c:pt>
                <c:pt idx="4">
                  <c:v>Operations</c:v>
                </c:pt>
                <c:pt idx="5">
                  <c:v>R&amp;D</c:v>
                </c:pt>
                <c:pt idx="6">
                  <c:v>Sales</c:v>
                </c:pt>
              </c:strCache>
            </c:strRef>
          </c:cat>
          <c:val>
            <c:numRef>
              <c:f>'Pivot Table Analysis'!$F$20:$F$27</c:f>
              <c:numCache>
                <c:formatCode>#,##0\ "EGP";\-#,##0\ "EGP";#,##0\ "EGP"</c:formatCode>
                <c:ptCount val="7"/>
                <c:pt idx="0">
                  <c:v>9484.5245901639337</c:v>
                </c:pt>
                <c:pt idx="1">
                  <c:v>8216.0689655172409</c:v>
                </c:pt>
                <c:pt idx="2">
                  <c:v>12152.5</c:v>
                </c:pt>
                <c:pt idx="3">
                  <c:v>8973.9125000000004</c:v>
                </c:pt>
                <c:pt idx="4">
                  <c:v>9319.7285714285717</c:v>
                </c:pt>
                <c:pt idx="5">
                  <c:v>11623.743243243243</c:v>
                </c:pt>
                <c:pt idx="6">
                  <c:v>9154.7792207792209</c:v>
                </c:pt>
              </c:numCache>
            </c:numRef>
          </c:val>
          <c:extLst>
            <c:ext xmlns:c16="http://schemas.microsoft.com/office/drawing/2014/chart" uri="{C3380CC4-5D6E-409C-BE32-E72D297353CC}">
              <c16:uniqueId val="{00000014-8ADC-48FC-B256-9A8AFF1A600D}"/>
            </c:ext>
          </c:extLst>
        </c:ser>
        <c:dLbls>
          <c:dLblPos val="outEnd"/>
          <c:showLegendKey val="0"/>
          <c:showVal val="1"/>
          <c:showCatName val="0"/>
          <c:showSerName val="0"/>
          <c:showPercent val="0"/>
          <c:showBubbleSize val="0"/>
        </c:dLbls>
        <c:gapWidth val="269"/>
        <c:overlap val="-20"/>
        <c:axId val="180826511"/>
        <c:axId val="180836111"/>
      </c:barChart>
      <c:catAx>
        <c:axId val="18082651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0836111"/>
        <c:crosses val="autoZero"/>
        <c:auto val="1"/>
        <c:lblAlgn val="ctr"/>
        <c:lblOffset val="100"/>
        <c:noMultiLvlLbl val="0"/>
      </c:catAx>
      <c:valAx>
        <c:axId val="180836111"/>
        <c:scaling>
          <c:orientation val="minMax"/>
        </c:scaling>
        <c:delete val="1"/>
        <c:axPos val="b"/>
        <c:majorGridlines>
          <c:spPr>
            <a:ln w="9525" cap="flat" cmpd="sng" algn="ctr">
              <a:solidFill>
                <a:schemeClr val="lt1">
                  <a:alpha val="25000"/>
                </a:schemeClr>
              </a:solidFill>
              <a:round/>
            </a:ln>
            <a:effectLst/>
          </c:spPr>
        </c:majorGridlines>
        <c:numFmt formatCode="#,##0\ &quot;EGP&quot;;\-#,##0\ &quot;EGP&quot;;#,##0\ &quot;EGP&quot;" sourceLinked="1"/>
        <c:majorTickMark val="none"/>
        <c:minorTickMark val="none"/>
        <c:tickLblPos val="nextTo"/>
        <c:crossAx val="18082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Hr Salaries Excel.xlsx]Pivot Table Analysis!Salary For Education</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Salary By Education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73709948992224"/>
          <c:y val="0.18644518272425248"/>
          <c:w val="0.7443655657296232"/>
          <c:h val="0.73329671000427277"/>
        </c:manualLayout>
      </c:layout>
      <c:barChart>
        <c:barDir val="col"/>
        <c:grouping val="clustered"/>
        <c:varyColors val="0"/>
        <c:ser>
          <c:idx val="0"/>
          <c:order val="0"/>
          <c:tx>
            <c:strRef>
              <c:f>'Pivot Table Analysis'!$K$5</c:f>
              <c:strCache>
                <c:ptCount val="1"/>
                <c:pt idx="0">
                  <c:v>Total</c:v>
                </c:pt>
              </c:strCache>
            </c:strRef>
          </c:tx>
          <c:spPr>
            <a:pattFill prst="ltUpDiag">
              <a:fgClr>
                <a:schemeClr val="accent1"/>
              </a:fgClr>
              <a:bgClr>
                <a:schemeClr val="lt1"/>
              </a:bgClr>
            </a:pattFill>
            <a:ln>
              <a:noFill/>
            </a:ln>
            <a:effectLst/>
          </c:spPr>
          <c:invertIfNegative val="0"/>
          <c:cat>
            <c:strRef>
              <c:f>'Pivot Table Analysis'!$J$6:$J$10</c:f>
              <c:strCache>
                <c:ptCount val="4"/>
                <c:pt idx="0">
                  <c:v>BSC</c:v>
                </c:pt>
                <c:pt idx="1">
                  <c:v>High School</c:v>
                </c:pt>
                <c:pt idx="2">
                  <c:v>Master</c:v>
                </c:pt>
                <c:pt idx="3">
                  <c:v>PhD</c:v>
                </c:pt>
              </c:strCache>
            </c:strRef>
          </c:cat>
          <c:val>
            <c:numRef>
              <c:f>'Pivot Table Analysis'!$K$6:$K$10</c:f>
              <c:numCache>
                <c:formatCode>#,##0\ "EGP";\-#,##0\ "EGP";#,##0\ "EGP"</c:formatCode>
                <c:ptCount val="4"/>
                <c:pt idx="0">
                  <c:v>9816.6832061068708</c:v>
                </c:pt>
                <c:pt idx="1">
                  <c:v>9952.0666666666675</c:v>
                </c:pt>
                <c:pt idx="2">
                  <c:v>10197.954128440368</c:v>
                </c:pt>
                <c:pt idx="3">
                  <c:v>9755.9166666666661</c:v>
                </c:pt>
              </c:numCache>
            </c:numRef>
          </c:val>
          <c:extLst>
            <c:ext xmlns:c16="http://schemas.microsoft.com/office/drawing/2014/chart" uri="{C3380CC4-5D6E-409C-BE32-E72D297353CC}">
              <c16:uniqueId val="{00000012-E3C6-4B63-81A3-62BEC3CB3DFF}"/>
            </c:ext>
          </c:extLst>
        </c:ser>
        <c:dLbls>
          <c:showLegendKey val="0"/>
          <c:showVal val="0"/>
          <c:showCatName val="0"/>
          <c:showSerName val="0"/>
          <c:showPercent val="0"/>
          <c:showBubbleSize val="0"/>
        </c:dLbls>
        <c:gapWidth val="269"/>
        <c:overlap val="-20"/>
        <c:axId val="180844751"/>
        <c:axId val="180828431"/>
      </c:barChart>
      <c:catAx>
        <c:axId val="1808447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0828431"/>
        <c:crosses val="autoZero"/>
        <c:auto val="1"/>
        <c:lblAlgn val="ctr"/>
        <c:lblOffset val="100"/>
        <c:noMultiLvlLbl val="0"/>
      </c:catAx>
      <c:valAx>
        <c:axId val="180828431"/>
        <c:scaling>
          <c:orientation val="minMax"/>
        </c:scaling>
        <c:delete val="0"/>
        <c:axPos val="l"/>
        <c:numFmt formatCode="#,##0\ &quot;EGP&quot;;\-#,##0\ &quot;EGP&quot;;#,##0\ &quot;EGP&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4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Hr Salaries Excel.xlsx]Pivot Table Analysis!PivotTable10</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Salary By Experince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7292213473316"/>
          <c:y val="0.19486111111111112"/>
          <c:w val="0.76756526401941694"/>
          <c:h val="0.72125801983085447"/>
        </c:manualLayout>
      </c:layout>
      <c:lineChart>
        <c:grouping val="standard"/>
        <c:varyColors val="0"/>
        <c:ser>
          <c:idx val="0"/>
          <c:order val="0"/>
          <c:tx>
            <c:strRef>
              <c:f>'Pivot Table Analysis'!$K$17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 Analysis'!$J$18:$J$54</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'Pivot Table Analysis'!$K$18:$K$54</c:f>
              <c:numCache>
                <c:formatCode>#,##0\ "EGP";\-#,##0\ "EGP";#,##0\ "EGP"</c:formatCode>
                <c:ptCount val="36"/>
                <c:pt idx="0">
                  <c:v>5808.0344827586205</c:v>
                </c:pt>
                <c:pt idx="1">
                  <c:v>6348.478260869565</c:v>
                </c:pt>
                <c:pt idx="2">
                  <c:v>6528.25</c:v>
                </c:pt>
                <c:pt idx="3">
                  <c:v>7416.2941176470586</c:v>
                </c:pt>
                <c:pt idx="4">
                  <c:v>7836.08</c:v>
                </c:pt>
                <c:pt idx="5">
                  <c:v>8115.4285714285716</c:v>
                </c:pt>
                <c:pt idx="6">
                  <c:v>7882.333333333333</c:v>
                </c:pt>
                <c:pt idx="7">
                  <c:v>8836.2000000000007</c:v>
                </c:pt>
                <c:pt idx="8">
                  <c:v>8817.0769230769238</c:v>
                </c:pt>
                <c:pt idx="9">
                  <c:v>9717.181818181818</c:v>
                </c:pt>
                <c:pt idx="10">
                  <c:v>9713.454545454546</c:v>
                </c:pt>
                <c:pt idx="11">
                  <c:v>10172.611111111111</c:v>
                </c:pt>
                <c:pt idx="12">
                  <c:v>10604.45</c:v>
                </c:pt>
                <c:pt idx="13">
                  <c:v>10677.666666666666</c:v>
                </c:pt>
                <c:pt idx="14">
                  <c:v>10835.3125</c:v>
                </c:pt>
                <c:pt idx="15">
                  <c:v>11643.533333333333</c:v>
                </c:pt>
                <c:pt idx="16">
                  <c:v>12042.173913043478</c:v>
                </c:pt>
                <c:pt idx="17">
                  <c:v>11601.5625</c:v>
                </c:pt>
                <c:pt idx="18">
                  <c:v>12015.272727272728</c:v>
                </c:pt>
                <c:pt idx="19">
                  <c:v>13130.5</c:v>
                </c:pt>
                <c:pt idx="20">
                  <c:v>12214.285714285714</c:v>
                </c:pt>
                <c:pt idx="21">
                  <c:v>13862.9</c:v>
                </c:pt>
                <c:pt idx="22">
                  <c:v>13721.3</c:v>
                </c:pt>
                <c:pt idx="23">
                  <c:v>13648</c:v>
                </c:pt>
                <c:pt idx="24">
                  <c:v>14713</c:v>
                </c:pt>
                <c:pt idx="25">
                  <c:v>16005.166666666666</c:v>
                </c:pt>
                <c:pt idx="26">
                  <c:v>16182.375</c:v>
                </c:pt>
                <c:pt idx="27">
                  <c:v>15153.75</c:v>
                </c:pt>
                <c:pt idx="28">
                  <c:v>17912.5</c:v>
                </c:pt>
                <c:pt idx="29">
                  <c:v>14154.333333333334</c:v>
                </c:pt>
                <c:pt idx="30">
                  <c:v>16074.333333333334</c:v>
                </c:pt>
                <c:pt idx="31">
                  <c:v>17084</c:v>
                </c:pt>
                <c:pt idx="32">
                  <c:v>19552</c:v>
                </c:pt>
                <c:pt idx="33">
                  <c:v>13250.5</c:v>
                </c:pt>
                <c:pt idx="34">
                  <c:v>20543</c:v>
                </c:pt>
                <c:pt idx="35">
                  <c:v>16899</c:v>
                </c:pt>
              </c:numCache>
            </c:numRef>
          </c:val>
          <c:smooth val="0"/>
          <c:extLst>
            <c:ext xmlns:c16="http://schemas.microsoft.com/office/drawing/2014/chart" uri="{C3380CC4-5D6E-409C-BE32-E72D297353CC}">
              <c16:uniqueId val="{00000012-1C1C-49B7-8ECA-386BCD72FBE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0850031"/>
        <c:axId val="180850511"/>
      </c:lineChart>
      <c:catAx>
        <c:axId val="1808500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0850511"/>
        <c:crosses val="autoZero"/>
        <c:auto val="1"/>
        <c:lblAlgn val="ctr"/>
        <c:lblOffset val="100"/>
        <c:noMultiLvlLbl val="0"/>
      </c:catAx>
      <c:valAx>
        <c:axId val="180850511"/>
        <c:scaling>
          <c:orientation val="minMax"/>
        </c:scaling>
        <c:delete val="0"/>
        <c:axPos val="l"/>
        <c:numFmt formatCode="#,##0\ &quot;EGP&quot;;\-#,##0\ &quot;EGP&quot;;#,##0\ &quot;EGP&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Hr Salaries Excel.xlsx]Pivot Table Analysis!Most Top10 of Jops</c:name>
    <c:fmtId val="3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jobs by salary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Analysis'!$O$5</c:f>
              <c:strCache>
                <c:ptCount val="1"/>
                <c:pt idx="0">
                  <c:v>Total</c:v>
                </c:pt>
              </c:strCache>
            </c:strRef>
          </c:tx>
          <c:spPr>
            <a:pattFill prst="ltUpDiag">
              <a:fgClr>
                <a:schemeClr val="accent1"/>
              </a:fgClr>
              <a:bgClr>
                <a:schemeClr val="lt1"/>
              </a:bgClr>
            </a:pattFill>
            <a:ln>
              <a:noFill/>
            </a:ln>
            <a:effectLst/>
          </c:spPr>
          <c:invertIfNegative val="0"/>
          <c:cat>
            <c:strRef>
              <c:f>'Pivot Table Analysis'!$N$6:$N$11</c:f>
              <c:strCache>
                <c:ptCount val="5"/>
                <c:pt idx="0">
                  <c:v>Data Scientist</c:v>
                </c:pt>
                <c:pt idx="1">
                  <c:v>IT Manager</c:v>
                </c:pt>
                <c:pt idx="2">
                  <c:v>R&amp;D Manager</c:v>
                </c:pt>
                <c:pt idx="3">
                  <c:v>Software Engineer</c:v>
                </c:pt>
                <c:pt idx="4">
                  <c:v>System Admin</c:v>
                </c:pt>
              </c:strCache>
            </c:strRef>
          </c:cat>
          <c:val>
            <c:numRef>
              <c:f>'Pivot Table Analysis'!$O$6:$O$11</c:f>
              <c:numCache>
                <c:formatCode>#,##0\ "EGP";\-#,##0\ "EGP";#,##0\ "EGP"</c:formatCode>
                <c:ptCount val="5"/>
                <c:pt idx="0">
                  <c:v>12049.6</c:v>
                </c:pt>
                <c:pt idx="1">
                  <c:v>11926.208333333334</c:v>
                </c:pt>
                <c:pt idx="2">
                  <c:v>12414.541666666666</c:v>
                </c:pt>
                <c:pt idx="3">
                  <c:v>11956.181818181818</c:v>
                </c:pt>
                <c:pt idx="4">
                  <c:v>12670.304347826086</c:v>
                </c:pt>
              </c:numCache>
            </c:numRef>
          </c:val>
          <c:extLst>
            <c:ext xmlns:c16="http://schemas.microsoft.com/office/drawing/2014/chart" uri="{C3380CC4-5D6E-409C-BE32-E72D297353CC}">
              <c16:uniqueId val="{00000008-5CF5-463E-9991-2E10E0438FBB}"/>
            </c:ext>
          </c:extLst>
        </c:ser>
        <c:dLbls>
          <c:showLegendKey val="0"/>
          <c:showVal val="0"/>
          <c:showCatName val="0"/>
          <c:showSerName val="0"/>
          <c:showPercent val="0"/>
          <c:showBubbleSize val="0"/>
        </c:dLbls>
        <c:gapWidth val="269"/>
        <c:overlap val="-20"/>
        <c:axId val="1740184111"/>
        <c:axId val="1740184591"/>
      </c:barChart>
      <c:catAx>
        <c:axId val="174018411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40184591"/>
        <c:crosses val="autoZero"/>
        <c:auto val="1"/>
        <c:lblAlgn val="ctr"/>
        <c:lblOffset val="100"/>
        <c:noMultiLvlLbl val="0"/>
      </c:catAx>
      <c:valAx>
        <c:axId val="1740184591"/>
        <c:scaling>
          <c:orientation val="minMax"/>
        </c:scaling>
        <c:delete val="1"/>
        <c:axPos val="b"/>
        <c:majorGridlines>
          <c:spPr>
            <a:ln w="9525" cap="flat" cmpd="sng" algn="ctr">
              <a:solidFill>
                <a:schemeClr val="lt1">
                  <a:alpha val="25000"/>
                </a:schemeClr>
              </a:solidFill>
              <a:round/>
            </a:ln>
            <a:effectLst/>
          </c:spPr>
        </c:majorGridlines>
        <c:numFmt formatCode="#,##0\ &quot;EGP&quot;;\-#,##0\ &quot;EGP&quot;;#,##0\ &quot;EGP&quot;" sourceLinked="1"/>
        <c:majorTickMark val="none"/>
        <c:minorTickMark val="none"/>
        <c:tickLblPos val="nextTo"/>
        <c:crossAx val="1740184111"/>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316230</xdr:colOff>
      <xdr:row>11</xdr:row>
      <xdr:rowOff>41910</xdr:rowOff>
    </xdr:from>
    <xdr:to>
      <xdr:col>8</xdr:col>
      <xdr:colOff>426720</xdr:colOff>
      <xdr:row>23</xdr:row>
      <xdr:rowOff>137160</xdr:rowOff>
    </xdr:to>
    <xdr:sp macro="" textlink="">
      <xdr:nvSpPr>
        <xdr:cNvPr id="2" name="Rectangle 1">
          <a:extLst>
            <a:ext uri="{FF2B5EF4-FFF2-40B4-BE49-F238E27FC236}">
              <a16:creationId xmlns:a16="http://schemas.microsoft.com/office/drawing/2014/main" id="{5FA6144F-86C5-D362-F1DB-D89C6AA10CE8}"/>
            </a:ext>
          </a:extLst>
        </xdr:cNvPr>
        <xdr:cNvSpPr/>
      </xdr:nvSpPr>
      <xdr:spPr>
        <a:xfrm>
          <a:off x="316230" y="2053590"/>
          <a:ext cx="5231130" cy="2289810"/>
        </a:xfrm>
        <a:prstGeom prst="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434340</xdr:colOff>
      <xdr:row>24</xdr:row>
      <xdr:rowOff>59055</xdr:rowOff>
    </xdr:from>
    <xdr:to>
      <xdr:col>11</xdr:col>
      <xdr:colOff>144780</xdr:colOff>
      <xdr:row>40</xdr:row>
      <xdr:rowOff>17145</xdr:rowOff>
    </xdr:to>
    <xdr:sp macro="" textlink="">
      <xdr:nvSpPr>
        <xdr:cNvPr id="4" name="Rectangle 3">
          <a:extLst>
            <a:ext uri="{FF2B5EF4-FFF2-40B4-BE49-F238E27FC236}">
              <a16:creationId xmlns:a16="http://schemas.microsoft.com/office/drawing/2014/main" id="{9F3031BB-D906-217E-C205-44F6816B9502}"/>
            </a:ext>
          </a:extLst>
        </xdr:cNvPr>
        <xdr:cNvSpPr/>
      </xdr:nvSpPr>
      <xdr:spPr>
        <a:xfrm>
          <a:off x="3634740" y="4448175"/>
          <a:ext cx="3550920" cy="2884170"/>
        </a:xfrm>
        <a:prstGeom prst="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1</xdr:row>
      <xdr:rowOff>3810</xdr:rowOff>
    </xdr:from>
    <xdr:to>
      <xdr:col>22</xdr:col>
      <xdr:colOff>243840</xdr:colOff>
      <xdr:row>5</xdr:row>
      <xdr:rowOff>152400</xdr:rowOff>
    </xdr:to>
    <xdr:sp macro="" textlink="">
      <xdr:nvSpPr>
        <xdr:cNvPr id="6" name="Rectangle: Rounded Corners 5">
          <a:extLst>
            <a:ext uri="{FF2B5EF4-FFF2-40B4-BE49-F238E27FC236}">
              <a16:creationId xmlns:a16="http://schemas.microsoft.com/office/drawing/2014/main" id="{DD211969-4A11-A72A-87EE-C3D2A1BA7496}"/>
            </a:ext>
          </a:extLst>
        </xdr:cNvPr>
        <xdr:cNvSpPr/>
      </xdr:nvSpPr>
      <xdr:spPr>
        <a:xfrm>
          <a:off x="182880" y="186690"/>
          <a:ext cx="14142720" cy="88011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8</xdr:col>
      <xdr:colOff>506730</xdr:colOff>
      <xdr:row>11</xdr:row>
      <xdr:rowOff>3810</xdr:rowOff>
    </xdr:from>
    <xdr:to>
      <xdr:col>16</xdr:col>
      <xdr:colOff>560070</xdr:colOff>
      <xdr:row>23</xdr:row>
      <xdr:rowOff>99060</xdr:rowOff>
    </xdr:to>
    <xdr:sp macro="" textlink="">
      <xdr:nvSpPr>
        <xdr:cNvPr id="50" name="Rectangle 49">
          <a:extLst>
            <a:ext uri="{FF2B5EF4-FFF2-40B4-BE49-F238E27FC236}">
              <a16:creationId xmlns:a16="http://schemas.microsoft.com/office/drawing/2014/main" id="{5A9527CF-E291-C3CF-0E8E-7D365D9286C8}"/>
            </a:ext>
          </a:extLst>
        </xdr:cNvPr>
        <xdr:cNvSpPr/>
      </xdr:nvSpPr>
      <xdr:spPr>
        <a:xfrm>
          <a:off x="5627370" y="2015490"/>
          <a:ext cx="5173980" cy="2289810"/>
        </a:xfrm>
        <a:prstGeom prst="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257075</xdr:colOff>
      <xdr:row>24</xdr:row>
      <xdr:rowOff>60994</xdr:rowOff>
    </xdr:from>
    <xdr:to>
      <xdr:col>5</xdr:col>
      <xdr:colOff>291365</xdr:colOff>
      <xdr:row>40</xdr:row>
      <xdr:rowOff>19084</xdr:rowOff>
    </xdr:to>
    <xdr:sp macro="" textlink="">
      <xdr:nvSpPr>
        <xdr:cNvPr id="98" name="Rectangle 97">
          <a:extLst>
            <a:ext uri="{FF2B5EF4-FFF2-40B4-BE49-F238E27FC236}">
              <a16:creationId xmlns:a16="http://schemas.microsoft.com/office/drawing/2014/main" id="{0C47A3C7-A941-F3C3-E53D-9D4A1E101DF2}"/>
            </a:ext>
          </a:extLst>
        </xdr:cNvPr>
        <xdr:cNvSpPr/>
      </xdr:nvSpPr>
      <xdr:spPr>
        <a:xfrm>
          <a:off x="257075" y="4392362"/>
          <a:ext cx="3242711" cy="2845669"/>
        </a:xfrm>
        <a:prstGeom prst="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255270</xdr:colOff>
      <xdr:row>24</xdr:row>
      <xdr:rowOff>62865</xdr:rowOff>
    </xdr:from>
    <xdr:to>
      <xdr:col>16</xdr:col>
      <xdr:colOff>544830</xdr:colOff>
      <xdr:row>40</xdr:row>
      <xdr:rowOff>20955</xdr:rowOff>
    </xdr:to>
    <xdr:sp macro="" textlink="">
      <xdr:nvSpPr>
        <xdr:cNvPr id="99" name="Rectangle 98">
          <a:extLst>
            <a:ext uri="{FF2B5EF4-FFF2-40B4-BE49-F238E27FC236}">
              <a16:creationId xmlns:a16="http://schemas.microsoft.com/office/drawing/2014/main" id="{D9F4CCCB-28C0-CB8B-652A-3FD3468D7D71}"/>
            </a:ext>
          </a:extLst>
        </xdr:cNvPr>
        <xdr:cNvSpPr/>
      </xdr:nvSpPr>
      <xdr:spPr>
        <a:xfrm>
          <a:off x="7296150" y="4451985"/>
          <a:ext cx="3489960" cy="2884170"/>
        </a:xfrm>
        <a:prstGeom prst="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99060</xdr:colOff>
      <xdr:row>2</xdr:row>
      <xdr:rowOff>53340</xdr:rowOff>
    </xdr:from>
    <xdr:to>
      <xdr:col>13</xdr:col>
      <xdr:colOff>560070</xdr:colOff>
      <xdr:row>5</xdr:row>
      <xdr:rowOff>11430</xdr:rowOff>
    </xdr:to>
    <xdr:sp macro="" textlink="">
      <xdr:nvSpPr>
        <xdr:cNvPr id="100" name="TextBox 99">
          <a:extLst>
            <a:ext uri="{FF2B5EF4-FFF2-40B4-BE49-F238E27FC236}">
              <a16:creationId xmlns:a16="http://schemas.microsoft.com/office/drawing/2014/main" id="{264C20B3-8C28-E37B-95B5-268EC3F362DB}"/>
            </a:ext>
          </a:extLst>
        </xdr:cNvPr>
        <xdr:cNvSpPr txBox="1"/>
      </xdr:nvSpPr>
      <xdr:spPr>
        <a:xfrm>
          <a:off x="5859780" y="419100"/>
          <a:ext cx="3021330" cy="506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effectLst>
                <a:glow rad="228600">
                  <a:schemeClr val="accent4">
                    <a:satMod val="175000"/>
                    <a:alpha val="40000"/>
                  </a:schemeClr>
                </a:glow>
              </a:effectLst>
            </a:rPr>
            <a:t>Salary Analysis Dashboard</a:t>
          </a:r>
        </a:p>
      </xdr:txBody>
    </xdr:sp>
    <xdr:clientData/>
  </xdr:twoCellAnchor>
  <xdr:twoCellAnchor>
    <xdr:from>
      <xdr:col>11</xdr:col>
      <xdr:colOff>259080</xdr:colOff>
      <xdr:row>24</xdr:row>
      <xdr:rowOff>68580</xdr:rowOff>
    </xdr:from>
    <xdr:to>
      <xdr:col>16</xdr:col>
      <xdr:colOff>529590</xdr:colOff>
      <xdr:row>40</xdr:row>
      <xdr:rowOff>3810</xdr:rowOff>
    </xdr:to>
    <xdr:graphicFrame macro="">
      <xdr:nvGraphicFramePr>
        <xdr:cNvPr id="101" name="Chart 100">
          <a:extLst>
            <a:ext uri="{FF2B5EF4-FFF2-40B4-BE49-F238E27FC236}">
              <a16:creationId xmlns:a16="http://schemas.microsoft.com/office/drawing/2014/main" id="{212F3A65-D562-4A9C-BB54-F2901C530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506730</xdr:colOff>
      <xdr:row>11</xdr:row>
      <xdr:rowOff>15240</xdr:rowOff>
    </xdr:from>
    <xdr:to>
      <xdr:col>16</xdr:col>
      <xdr:colOff>541020</xdr:colOff>
      <xdr:row>23</xdr:row>
      <xdr:rowOff>114300</xdr:rowOff>
    </xdr:to>
    <xdr:graphicFrame macro="">
      <xdr:nvGraphicFramePr>
        <xdr:cNvPr id="102" name="Chart 101">
          <a:extLst>
            <a:ext uri="{FF2B5EF4-FFF2-40B4-BE49-F238E27FC236}">
              <a16:creationId xmlns:a16="http://schemas.microsoft.com/office/drawing/2014/main" id="{D2949C7F-14C0-49ED-93C7-3FC36E1C9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245578</xdr:colOff>
      <xdr:row>24</xdr:row>
      <xdr:rowOff>69548</xdr:rowOff>
    </xdr:from>
    <xdr:to>
      <xdr:col>5</xdr:col>
      <xdr:colOff>257008</xdr:colOff>
      <xdr:row>40</xdr:row>
      <xdr:rowOff>10493</xdr:rowOff>
    </xdr:to>
    <xdr:graphicFrame macro="">
      <xdr:nvGraphicFramePr>
        <xdr:cNvPr id="103" name="Chart 102">
          <a:extLst>
            <a:ext uri="{FF2B5EF4-FFF2-40B4-BE49-F238E27FC236}">
              <a16:creationId xmlns:a16="http://schemas.microsoft.com/office/drawing/2014/main" id="{FC3657CE-BBCF-41BA-9C7E-1E25D441C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426720</xdr:colOff>
      <xdr:row>24</xdr:row>
      <xdr:rowOff>66674</xdr:rowOff>
    </xdr:from>
    <xdr:to>
      <xdr:col>11</xdr:col>
      <xdr:colOff>129540</xdr:colOff>
      <xdr:row>40</xdr:row>
      <xdr:rowOff>11429</xdr:rowOff>
    </xdr:to>
    <xdr:graphicFrame macro="">
      <xdr:nvGraphicFramePr>
        <xdr:cNvPr id="104" name="Chart 103">
          <a:extLst>
            <a:ext uri="{FF2B5EF4-FFF2-40B4-BE49-F238E27FC236}">
              <a16:creationId xmlns:a16="http://schemas.microsoft.com/office/drawing/2014/main" id="{D8EE779D-5122-4861-84B2-21C7DF42D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624840</xdr:colOff>
      <xdr:row>6</xdr:row>
      <xdr:rowOff>1905</xdr:rowOff>
    </xdr:from>
    <xdr:to>
      <xdr:col>21</xdr:col>
      <xdr:colOff>275844</xdr:colOff>
      <xdr:row>10</xdr:row>
      <xdr:rowOff>146685</xdr:rowOff>
    </xdr:to>
    <xdr:grpSp>
      <xdr:nvGrpSpPr>
        <xdr:cNvPr id="78" name="Group 77">
          <a:extLst>
            <a:ext uri="{FF2B5EF4-FFF2-40B4-BE49-F238E27FC236}">
              <a16:creationId xmlns:a16="http://schemas.microsoft.com/office/drawing/2014/main" id="{C4BC2721-C5BA-4FBD-F5C6-28AE7690FE00}"/>
            </a:ext>
          </a:extLst>
        </xdr:cNvPr>
        <xdr:cNvGrpSpPr/>
      </xdr:nvGrpSpPr>
      <xdr:grpSpPr>
        <a:xfrm>
          <a:off x="624840" y="1099185"/>
          <a:ext cx="13092684" cy="876300"/>
          <a:chOff x="651510" y="1110615"/>
          <a:chExt cx="13092684" cy="876300"/>
        </a:xfrm>
        <a:effectLst>
          <a:outerShdw blurRad="50800" dist="38100" dir="10800000" algn="r" rotWithShape="0">
            <a:prstClr val="black">
              <a:alpha val="40000"/>
            </a:prstClr>
          </a:outerShdw>
        </a:effectLst>
      </xdr:grpSpPr>
      <xdr:grpSp>
        <xdr:nvGrpSpPr>
          <xdr:cNvPr id="16" name="Group 15">
            <a:extLst>
              <a:ext uri="{FF2B5EF4-FFF2-40B4-BE49-F238E27FC236}">
                <a16:creationId xmlns:a16="http://schemas.microsoft.com/office/drawing/2014/main" id="{B2CA69B0-9140-236B-128B-00516354FF56}"/>
              </a:ext>
            </a:extLst>
          </xdr:cNvPr>
          <xdr:cNvGrpSpPr/>
        </xdr:nvGrpSpPr>
        <xdr:grpSpPr>
          <a:xfrm>
            <a:off x="651510" y="1141095"/>
            <a:ext cx="2537460" cy="845820"/>
            <a:chOff x="609600" y="1122045"/>
            <a:chExt cx="2537460" cy="845820"/>
          </a:xfrm>
        </xdr:grpSpPr>
        <xdr:sp macro="" textlink="">
          <xdr:nvSpPr>
            <xdr:cNvPr id="51" name="Rectangle: Rounded Corners 50">
              <a:extLst>
                <a:ext uri="{FF2B5EF4-FFF2-40B4-BE49-F238E27FC236}">
                  <a16:creationId xmlns:a16="http://schemas.microsoft.com/office/drawing/2014/main" id="{B8F9178B-8B24-4307-D2E9-A7083CB46696}"/>
                </a:ext>
              </a:extLst>
            </xdr:cNvPr>
            <xdr:cNvSpPr/>
          </xdr:nvSpPr>
          <xdr:spPr>
            <a:xfrm>
              <a:off x="609600" y="1122045"/>
              <a:ext cx="2523744" cy="845820"/>
            </a:xfrm>
            <a:prstGeom prst="round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ctr"/>
              <a:r>
                <a:rPr lang="en-US" sz="1600" b="1">
                  <a:effectLst>
                    <a:glow rad="228600">
                      <a:schemeClr val="accent4">
                        <a:satMod val="175000"/>
                        <a:alpha val="40000"/>
                      </a:schemeClr>
                    </a:glow>
                  </a:effectLst>
                </a:rPr>
                <a:t>Total</a:t>
              </a:r>
              <a:r>
                <a:rPr lang="en-US" sz="1600" b="1" baseline="0">
                  <a:effectLst>
                    <a:glow rad="228600">
                      <a:schemeClr val="accent4">
                        <a:satMod val="175000"/>
                        <a:alpha val="40000"/>
                      </a:schemeClr>
                    </a:glow>
                  </a:effectLst>
                </a:rPr>
                <a:t> Salary</a:t>
              </a:r>
              <a:endParaRPr lang="en-US" sz="1600" b="1">
                <a:effectLst>
                  <a:glow rad="228600">
                    <a:schemeClr val="accent4">
                      <a:satMod val="175000"/>
                      <a:alpha val="40000"/>
                    </a:schemeClr>
                  </a:glow>
                </a:effectLst>
              </a:endParaRPr>
            </a:p>
          </xdr:txBody>
        </xdr:sp>
        <xdr:sp macro="" textlink="'Pivot Table Analysis'!A6">
          <xdr:nvSpPr>
            <xdr:cNvPr id="5" name="TextBox 4">
              <a:extLst>
                <a:ext uri="{FF2B5EF4-FFF2-40B4-BE49-F238E27FC236}">
                  <a16:creationId xmlns:a16="http://schemas.microsoft.com/office/drawing/2014/main" id="{4468F837-5F54-E4B9-5CFD-BDD2ECF615A9}"/>
                </a:ext>
              </a:extLst>
            </xdr:cNvPr>
            <xdr:cNvSpPr txBox="1"/>
          </xdr:nvSpPr>
          <xdr:spPr>
            <a:xfrm>
              <a:off x="1813560" y="1508760"/>
              <a:ext cx="133350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rtl="1"/>
              <a:fld id="{C14B8BA2-CE10-42D1-8FEB-BF4F51B3CD01}" type="TxLink">
                <a:rPr lang="en-US" sz="1400" b="1" i="0" u="none" strike="noStrike">
                  <a:solidFill>
                    <a:schemeClr val="bg1"/>
                  </a:solidFill>
                  <a:effectLst>
                    <a:glow rad="228600">
                      <a:schemeClr val="accent4">
                        <a:satMod val="175000"/>
                        <a:alpha val="40000"/>
                      </a:schemeClr>
                    </a:glow>
                  </a:effectLst>
                  <a:latin typeface="Aptos Narrow"/>
                </a:rPr>
                <a:pPr algn="ctr" rtl="1"/>
                <a:t>4,962,657 EGP</a:t>
              </a:fld>
              <a:endParaRPr lang="en-US" sz="1400" b="1">
                <a:solidFill>
                  <a:schemeClr val="bg1"/>
                </a:solidFill>
                <a:effectLst>
                  <a:glow rad="228600">
                    <a:schemeClr val="accent4">
                      <a:satMod val="175000"/>
                      <a:alpha val="40000"/>
                    </a:schemeClr>
                  </a:glow>
                </a:effectLst>
              </a:endParaRPr>
            </a:p>
          </xdr:txBody>
        </xdr:sp>
      </xdr:grpSp>
      <xdr:grpSp>
        <xdr:nvGrpSpPr>
          <xdr:cNvPr id="45" name="Group 44">
            <a:extLst>
              <a:ext uri="{FF2B5EF4-FFF2-40B4-BE49-F238E27FC236}">
                <a16:creationId xmlns:a16="http://schemas.microsoft.com/office/drawing/2014/main" id="{E328561C-E7AC-79D3-4DCF-B5A9442BA527}"/>
              </a:ext>
            </a:extLst>
          </xdr:cNvPr>
          <xdr:cNvGrpSpPr/>
        </xdr:nvGrpSpPr>
        <xdr:grpSpPr>
          <a:xfrm>
            <a:off x="3303270" y="1122045"/>
            <a:ext cx="2523744" cy="845820"/>
            <a:chOff x="636270" y="1102995"/>
            <a:chExt cx="2523744" cy="845820"/>
          </a:xfrm>
        </xdr:grpSpPr>
        <xdr:sp macro="" textlink="">
          <xdr:nvSpPr>
            <xdr:cNvPr id="46" name="Rectangle: Rounded Corners 45">
              <a:extLst>
                <a:ext uri="{FF2B5EF4-FFF2-40B4-BE49-F238E27FC236}">
                  <a16:creationId xmlns:a16="http://schemas.microsoft.com/office/drawing/2014/main" id="{B8218529-95CA-E19D-B50E-209FB0E76AE5}"/>
                </a:ext>
              </a:extLst>
            </xdr:cNvPr>
            <xdr:cNvSpPr/>
          </xdr:nvSpPr>
          <xdr:spPr>
            <a:xfrm>
              <a:off x="636270" y="1102995"/>
              <a:ext cx="2523744" cy="845820"/>
            </a:xfrm>
            <a:prstGeom prst="round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1600" b="1">
                  <a:effectLst>
                    <a:glow rad="228600">
                      <a:schemeClr val="accent4">
                        <a:satMod val="175000"/>
                        <a:alpha val="40000"/>
                      </a:schemeClr>
                    </a:glow>
                  </a:effectLst>
                </a:rPr>
                <a:t>Total </a:t>
              </a:r>
              <a:r>
                <a:rPr lang="en-US" sz="1600" b="1" baseline="0">
                  <a:effectLst>
                    <a:glow rad="228600">
                      <a:schemeClr val="accent4">
                        <a:satMod val="175000"/>
                        <a:alpha val="40000"/>
                      </a:schemeClr>
                    </a:glow>
                  </a:effectLst>
                </a:rPr>
                <a:t>Employees</a:t>
              </a:r>
              <a:endParaRPr lang="en-US" sz="1600" b="1">
                <a:effectLst>
                  <a:glow rad="228600">
                    <a:schemeClr val="accent4">
                      <a:satMod val="175000"/>
                      <a:alpha val="40000"/>
                    </a:schemeClr>
                  </a:glow>
                </a:effectLst>
              </a:endParaRPr>
            </a:p>
          </xdr:txBody>
        </xdr:sp>
        <xdr:sp macro="" textlink="'Pivot Table Analysis'!A12">
          <xdr:nvSpPr>
            <xdr:cNvPr id="47" name="TextBox 46">
              <a:extLst>
                <a:ext uri="{FF2B5EF4-FFF2-40B4-BE49-F238E27FC236}">
                  <a16:creationId xmlns:a16="http://schemas.microsoft.com/office/drawing/2014/main" id="{1230DD3A-A0B0-6612-1715-9ECCDB0A6933}"/>
                </a:ext>
              </a:extLst>
            </xdr:cNvPr>
            <xdr:cNvSpPr txBox="1"/>
          </xdr:nvSpPr>
          <xdr:spPr>
            <a:xfrm>
              <a:off x="1798320" y="1482090"/>
              <a:ext cx="103251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48F8E6A0-7BC2-4C15-A7FA-D3656CDCB88C}" type="TxLink">
                <a:rPr lang="en-US" sz="1400" b="1" i="0" u="none" strike="noStrike">
                  <a:solidFill>
                    <a:schemeClr val="bg1"/>
                  </a:solidFill>
                  <a:effectLst>
                    <a:glow rad="228600">
                      <a:schemeClr val="accent4">
                        <a:satMod val="175000"/>
                        <a:alpha val="40000"/>
                      </a:schemeClr>
                    </a:glow>
                  </a:effectLst>
                  <a:latin typeface="Aptos Narrow"/>
                </a:rPr>
                <a:t>500</a:t>
              </a:fld>
              <a:endParaRPr lang="en-US" sz="1400" b="1">
                <a:solidFill>
                  <a:schemeClr val="bg1"/>
                </a:solidFill>
                <a:effectLst>
                  <a:glow rad="228600">
                    <a:schemeClr val="accent4">
                      <a:satMod val="175000"/>
                      <a:alpha val="40000"/>
                    </a:schemeClr>
                  </a:glow>
                </a:effectLst>
              </a:endParaRPr>
            </a:p>
          </xdr:txBody>
        </xdr:sp>
      </xdr:grpSp>
      <xdr:grpSp>
        <xdr:nvGrpSpPr>
          <xdr:cNvPr id="53" name="Group 52">
            <a:extLst>
              <a:ext uri="{FF2B5EF4-FFF2-40B4-BE49-F238E27FC236}">
                <a16:creationId xmlns:a16="http://schemas.microsoft.com/office/drawing/2014/main" id="{B357F94D-4E59-954E-E74E-6B9CC3E267D8}"/>
              </a:ext>
            </a:extLst>
          </xdr:cNvPr>
          <xdr:cNvGrpSpPr/>
        </xdr:nvGrpSpPr>
        <xdr:grpSpPr>
          <a:xfrm>
            <a:off x="5947410" y="1122045"/>
            <a:ext cx="2523744" cy="845820"/>
            <a:chOff x="636270" y="1114425"/>
            <a:chExt cx="2523744" cy="845820"/>
          </a:xfrm>
        </xdr:grpSpPr>
        <xdr:sp macro="" textlink="">
          <xdr:nvSpPr>
            <xdr:cNvPr id="54" name="Rectangle: Rounded Corners 53">
              <a:extLst>
                <a:ext uri="{FF2B5EF4-FFF2-40B4-BE49-F238E27FC236}">
                  <a16:creationId xmlns:a16="http://schemas.microsoft.com/office/drawing/2014/main" id="{C05C71FA-F1A8-4941-041A-43DB1ACA5498}"/>
                </a:ext>
              </a:extLst>
            </xdr:cNvPr>
            <xdr:cNvSpPr/>
          </xdr:nvSpPr>
          <xdr:spPr>
            <a:xfrm>
              <a:off x="636270" y="1114425"/>
              <a:ext cx="2523744" cy="845820"/>
            </a:xfrm>
            <a:prstGeom prst="round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1600" b="1">
                  <a:effectLst>
                    <a:glow rad="228600">
                      <a:schemeClr val="accent4">
                        <a:satMod val="175000"/>
                        <a:alpha val="40000"/>
                      </a:schemeClr>
                    </a:glow>
                  </a:effectLst>
                </a:rPr>
                <a:t>Total</a:t>
              </a:r>
              <a:r>
                <a:rPr lang="en-US" sz="1600" b="1" baseline="0">
                  <a:effectLst>
                    <a:glow rad="228600">
                      <a:schemeClr val="accent4">
                        <a:satMod val="175000"/>
                        <a:alpha val="40000"/>
                      </a:schemeClr>
                    </a:glow>
                  </a:effectLst>
                </a:rPr>
                <a:t> Department</a:t>
              </a:r>
              <a:endParaRPr lang="en-US" sz="1600" b="1">
                <a:effectLst>
                  <a:glow rad="228600">
                    <a:schemeClr val="accent4">
                      <a:satMod val="175000"/>
                      <a:alpha val="40000"/>
                    </a:schemeClr>
                  </a:glow>
                </a:effectLst>
              </a:endParaRPr>
            </a:p>
          </xdr:txBody>
        </xdr:sp>
        <xdr:sp macro="" textlink="'Pivot Table Analysis'!A18">
          <xdr:nvSpPr>
            <xdr:cNvPr id="55" name="TextBox 54">
              <a:extLst>
                <a:ext uri="{FF2B5EF4-FFF2-40B4-BE49-F238E27FC236}">
                  <a16:creationId xmlns:a16="http://schemas.microsoft.com/office/drawing/2014/main" id="{9E77AF61-C5A5-C6DA-C223-C7559227AEC8}"/>
                </a:ext>
              </a:extLst>
            </xdr:cNvPr>
            <xdr:cNvSpPr txBox="1"/>
          </xdr:nvSpPr>
          <xdr:spPr>
            <a:xfrm>
              <a:off x="1638300" y="1485900"/>
              <a:ext cx="121158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4FED9C6B-EBF8-4C95-B3B9-3B10079F7571}" type="TxLink">
                <a:rPr lang="en-US" sz="1400" b="0" i="0" u="none" strike="noStrike">
                  <a:solidFill>
                    <a:schemeClr val="bg1"/>
                  </a:solidFill>
                  <a:effectLst>
                    <a:glow rad="228600">
                      <a:schemeClr val="accent4">
                        <a:satMod val="175000"/>
                        <a:alpha val="40000"/>
                      </a:schemeClr>
                    </a:glow>
                  </a:effectLst>
                  <a:latin typeface="Aptos Narrow"/>
                </a:rPr>
                <a:t>7</a:t>
              </a:fld>
              <a:endParaRPr lang="en-US" sz="1400" b="1">
                <a:solidFill>
                  <a:schemeClr val="bg1"/>
                </a:solidFill>
                <a:effectLst>
                  <a:glow rad="228600">
                    <a:schemeClr val="accent4">
                      <a:satMod val="175000"/>
                      <a:alpha val="40000"/>
                    </a:schemeClr>
                  </a:glow>
                </a:effectLst>
              </a:endParaRPr>
            </a:p>
          </xdr:txBody>
        </xdr:sp>
      </xdr:grpSp>
      <xdr:grpSp>
        <xdr:nvGrpSpPr>
          <xdr:cNvPr id="57" name="Group 56">
            <a:extLst>
              <a:ext uri="{FF2B5EF4-FFF2-40B4-BE49-F238E27FC236}">
                <a16:creationId xmlns:a16="http://schemas.microsoft.com/office/drawing/2014/main" id="{7294D8CE-533D-36B1-4870-3C4120379DBD}"/>
              </a:ext>
            </a:extLst>
          </xdr:cNvPr>
          <xdr:cNvGrpSpPr/>
        </xdr:nvGrpSpPr>
        <xdr:grpSpPr>
          <a:xfrm>
            <a:off x="8572500" y="1110615"/>
            <a:ext cx="2523744" cy="845820"/>
            <a:chOff x="636270" y="1102995"/>
            <a:chExt cx="2523744" cy="845820"/>
          </a:xfrm>
        </xdr:grpSpPr>
        <xdr:sp macro="" textlink="">
          <xdr:nvSpPr>
            <xdr:cNvPr id="58" name="Rectangle: Rounded Corners 57">
              <a:extLst>
                <a:ext uri="{FF2B5EF4-FFF2-40B4-BE49-F238E27FC236}">
                  <a16:creationId xmlns:a16="http://schemas.microsoft.com/office/drawing/2014/main" id="{684E1F86-DA92-B07D-4943-EF8B3008FA80}"/>
                </a:ext>
              </a:extLst>
            </xdr:cNvPr>
            <xdr:cNvSpPr/>
          </xdr:nvSpPr>
          <xdr:spPr>
            <a:xfrm>
              <a:off x="636270" y="1102995"/>
              <a:ext cx="2523744" cy="845820"/>
            </a:xfrm>
            <a:prstGeom prst="round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1600" b="1">
                  <a:effectLst>
                    <a:glow rad="228600">
                      <a:schemeClr val="accent4">
                        <a:satMod val="175000"/>
                        <a:alpha val="40000"/>
                      </a:schemeClr>
                    </a:glow>
                  </a:effectLst>
                </a:rPr>
                <a:t>Total</a:t>
              </a:r>
              <a:r>
                <a:rPr lang="en-US" sz="1600" b="1" baseline="0">
                  <a:effectLst>
                    <a:glow rad="228600">
                      <a:schemeClr val="accent4">
                        <a:satMod val="175000"/>
                        <a:alpha val="40000"/>
                      </a:schemeClr>
                    </a:glow>
                  </a:effectLst>
                </a:rPr>
                <a:t> Locations</a:t>
              </a:r>
              <a:endParaRPr lang="en-US" sz="1600" b="1">
                <a:effectLst>
                  <a:glow rad="228600">
                    <a:schemeClr val="accent4">
                      <a:satMod val="175000"/>
                      <a:alpha val="40000"/>
                    </a:schemeClr>
                  </a:glow>
                </a:effectLst>
              </a:endParaRPr>
            </a:p>
          </xdr:txBody>
        </xdr:sp>
        <xdr:sp macro="" textlink="'Pivot Table Analysis'!A23">
          <xdr:nvSpPr>
            <xdr:cNvPr id="59" name="TextBox 58">
              <a:extLst>
                <a:ext uri="{FF2B5EF4-FFF2-40B4-BE49-F238E27FC236}">
                  <a16:creationId xmlns:a16="http://schemas.microsoft.com/office/drawing/2014/main" id="{28AF76D8-FFA8-A83F-CE29-64393DE8E7A2}"/>
                </a:ext>
              </a:extLst>
            </xdr:cNvPr>
            <xdr:cNvSpPr txBox="1"/>
          </xdr:nvSpPr>
          <xdr:spPr>
            <a:xfrm>
              <a:off x="1855470" y="1485900"/>
              <a:ext cx="99441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9AEFC83A-5317-4411-BD3D-6DC80C289F20}" type="TxLink">
                <a:rPr lang="en-US" sz="1400" b="0" i="0" u="none" strike="noStrike">
                  <a:solidFill>
                    <a:schemeClr val="bg1"/>
                  </a:solidFill>
                  <a:effectLst>
                    <a:glow rad="228600">
                      <a:schemeClr val="accent4">
                        <a:satMod val="175000"/>
                        <a:alpha val="40000"/>
                      </a:schemeClr>
                    </a:glow>
                  </a:effectLst>
                  <a:latin typeface="Aptos Narrow"/>
                </a:rPr>
                <a:t>7</a:t>
              </a:fld>
              <a:endParaRPr lang="en-US" sz="1400" b="0">
                <a:solidFill>
                  <a:schemeClr val="bg1"/>
                </a:solidFill>
                <a:effectLst>
                  <a:glow rad="228600">
                    <a:schemeClr val="accent4">
                      <a:satMod val="175000"/>
                      <a:alpha val="40000"/>
                    </a:schemeClr>
                  </a:glow>
                </a:effectLst>
              </a:endParaRPr>
            </a:p>
          </xdr:txBody>
        </xdr:sp>
      </xdr:grpSp>
      <xdr:grpSp>
        <xdr:nvGrpSpPr>
          <xdr:cNvPr id="61" name="Group 60">
            <a:extLst>
              <a:ext uri="{FF2B5EF4-FFF2-40B4-BE49-F238E27FC236}">
                <a16:creationId xmlns:a16="http://schemas.microsoft.com/office/drawing/2014/main" id="{890259C3-BB31-EC2A-4938-F959B19790EC}"/>
              </a:ext>
            </a:extLst>
          </xdr:cNvPr>
          <xdr:cNvGrpSpPr/>
        </xdr:nvGrpSpPr>
        <xdr:grpSpPr>
          <a:xfrm>
            <a:off x="11220450" y="1118235"/>
            <a:ext cx="2523744" cy="845820"/>
            <a:chOff x="636270" y="1102995"/>
            <a:chExt cx="2523744" cy="845820"/>
          </a:xfrm>
        </xdr:grpSpPr>
        <xdr:sp macro="" textlink="">
          <xdr:nvSpPr>
            <xdr:cNvPr id="62" name="Rectangle: Rounded Corners 61">
              <a:extLst>
                <a:ext uri="{FF2B5EF4-FFF2-40B4-BE49-F238E27FC236}">
                  <a16:creationId xmlns:a16="http://schemas.microsoft.com/office/drawing/2014/main" id="{BB47464D-A1B3-29DF-2628-77B481DAE231}"/>
                </a:ext>
              </a:extLst>
            </xdr:cNvPr>
            <xdr:cNvSpPr/>
          </xdr:nvSpPr>
          <xdr:spPr>
            <a:xfrm>
              <a:off x="636270" y="1102995"/>
              <a:ext cx="2523744" cy="845820"/>
            </a:xfrm>
            <a:prstGeom prst="roundRect">
              <a:avLst/>
            </a:prstGeom>
            <a:solidFill>
              <a:schemeClr val="accent1"/>
            </a:solidFill>
            <a:ln w="95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effectLst>
                    <a:glow rad="228600">
                      <a:schemeClr val="accent4">
                        <a:satMod val="175000"/>
                        <a:alpha val="40000"/>
                      </a:schemeClr>
                    </a:glow>
                  </a:effectLst>
                </a:rPr>
                <a:t>Total</a:t>
              </a:r>
              <a:r>
                <a:rPr lang="en-US" sz="1600" b="1" baseline="0">
                  <a:effectLst>
                    <a:glow rad="228600">
                      <a:schemeClr val="accent4">
                        <a:satMod val="175000"/>
                        <a:alpha val="40000"/>
                      </a:schemeClr>
                    </a:glow>
                  </a:effectLst>
                </a:rPr>
                <a:t> Jobs</a:t>
              </a:r>
              <a:endParaRPr lang="en-US" sz="1600" b="1">
                <a:effectLst>
                  <a:glow rad="228600">
                    <a:schemeClr val="accent4">
                      <a:satMod val="175000"/>
                      <a:alpha val="40000"/>
                    </a:schemeClr>
                  </a:glow>
                </a:effectLst>
              </a:endParaRPr>
            </a:p>
          </xdr:txBody>
        </xdr:sp>
        <xdr:sp macro="" textlink="'Pivot Table Analysis'!A30">
          <xdr:nvSpPr>
            <xdr:cNvPr id="63" name="TextBox 62">
              <a:extLst>
                <a:ext uri="{FF2B5EF4-FFF2-40B4-BE49-F238E27FC236}">
                  <a16:creationId xmlns:a16="http://schemas.microsoft.com/office/drawing/2014/main" id="{F0368B51-BFEF-1A95-42C8-F101440C4EDC}"/>
                </a:ext>
              </a:extLst>
            </xdr:cNvPr>
            <xdr:cNvSpPr txBox="1"/>
          </xdr:nvSpPr>
          <xdr:spPr>
            <a:xfrm>
              <a:off x="2350770" y="1485900"/>
              <a:ext cx="499110"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080D954C-E7FF-41F7-AAAC-ED584B868E6F}" type="TxLink">
                <a:rPr lang="en-US" sz="1400" b="1" i="0" u="none" strike="noStrike">
                  <a:solidFill>
                    <a:schemeClr val="bg1"/>
                  </a:solidFill>
                  <a:effectLst>
                    <a:glow rad="228600">
                      <a:schemeClr val="accent4">
                        <a:satMod val="175000"/>
                        <a:alpha val="40000"/>
                      </a:schemeClr>
                    </a:glow>
                  </a:effectLst>
                  <a:latin typeface="Aptos Narrow"/>
                </a:rPr>
                <a:t>21</a:t>
              </a:fld>
              <a:endParaRPr lang="en-US" sz="1400" b="1">
                <a:solidFill>
                  <a:schemeClr val="bg1"/>
                </a:solidFill>
                <a:effectLst>
                  <a:glow rad="228600">
                    <a:schemeClr val="accent4">
                      <a:satMod val="175000"/>
                      <a:alpha val="40000"/>
                    </a:schemeClr>
                  </a:glow>
                </a:effectLst>
              </a:endParaRPr>
            </a:p>
          </xdr:txBody>
        </xdr:sp>
      </xdr:grpSp>
    </xdr:grpSp>
    <xdr:clientData/>
  </xdr:twoCellAnchor>
  <xdr:twoCellAnchor editAs="oneCell">
    <xdr:from>
      <xdr:col>19</xdr:col>
      <xdr:colOff>502920</xdr:colOff>
      <xdr:row>25</xdr:row>
      <xdr:rowOff>175259</xdr:rowOff>
    </xdr:from>
    <xdr:to>
      <xdr:col>22</xdr:col>
      <xdr:colOff>200526</xdr:colOff>
      <xdr:row>39</xdr:row>
      <xdr:rowOff>179070</xdr:rowOff>
    </xdr:to>
    <mc:AlternateContent xmlns:mc="http://schemas.openxmlformats.org/markup-compatibility/2006">
      <mc:Choice xmlns:a14="http://schemas.microsoft.com/office/drawing/2010/main" Requires="a14">
        <xdr:graphicFrame macro="">
          <xdr:nvGraphicFramePr>
            <xdr:cNvPr id="79" name="Department">
              <a:extLst>
                <a:ext uri="{FF2B5EF4-FFF2-40B4-BE49-F238E27FC236}">
                  <a16:creationId xmlns:a16="http://schemas.microsoft.com/office/drawing/2014/main" id="{86A5BC89-6B66-3D64-E53C-1F31A30710E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664440" y="4747259"/>
              <a:ext cx="1617846" cy="256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617220</xdr:colOff>
      <xdr:row>25</xdr:row>
      <xdr:rowOff>163831</xdr:rowOff>
    </xdr:from>
    <xdr:to>
      <xdr:col>19</xdr:col>
      <xdr:colOff>427788</xdr:colOff>
      <xdr:row>32</xdr:row>
      <xdr:rowOff>91441</xdr:rowOff>
    </xdr:to>
    <mc:AlternateContent xmlns:mc="http://schemas.openxmlformats.org/markup-compatibility/2006">
      <mc:Choice xmlns:a14="http://schemas.microsoft.com/office/drawing/2010/main" Requires="a14">
        <xdr:graphicFrame macro="">
          <xdr:nvGraphicFramePr>
            <xdr:cNvPr id="80" name="Job Level">
              <a:extLst>
                <a:ext uri="{FF2B5EF4-FFF2-40B4-BE49-F238E27FC236}">
                  <a16:creationId xmlns:a16="http://schemas.microsoft.com/office/drawing/2014/main" id="{D7ABC600-CD15-E27C-7836-CD4CCB5D738E}"/>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10858500" y="4735831"/>
              <a:ext cx="1730808" cy="1207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502921</xdr:colOff>
      <xdr:row>11</xdr:row>
      <xdr:rowOff>7620</xdr:rowOff>
    </xdr:from>
    <xdr:to>
      <xdr:col>22</xdr:col>
      <xdr:colOff>198120</xdr:colOff>
      <xdr:row>25</xdr:row>
      <xdr:rowOff>85725</xdr:rowOff>
    </xdr:to>
    <mc:AlternateContent xmlns:mc="http://schemas.openxmlformats.org/markup-compatibility/2006">
      <mc:Choice xmlns:a14="http://schemas.microsoft.com/office/drawing/2010/main" Requires="a14">
        <xdr:graphicFrame macro="">
          <xdr:nvGraphicFramePr>
            <xdr:cNvPr id="81" name="Job Title">
              <a:extLst>
                <a:ext uri="{FF2B5EF4-FFF2-40B4-BE49-F238E27FC236}">
                  <a16:creationId xmlns:a16="http://schemas.microsoft.com/office/drawing/2014/main" id="{F938C149-E195-B842-E633-6FA1B8834462}"/>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12664441" y="2019300"/>
              <a:ext cx="1615439"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624841</xdr:colOff>
      <xdr:row>11</xdr:row>
      <xdr:rowOff>19050</xdr:rowOff>
    </xdr:from>
    <xdr:to>
      <xdr:col>19</xdr:col>
      <xdr:colOff>414422</xdr:colOff>
      <xdr:row>25</xdr:row>
      <xdr:rowOff>97155</xdr:rowOff>
    </xdr:to>
    <mc:AlternateContent xmlns:mc="http://schemas.openxmlformats.org/markup-compatibility/2006">
      <mc:Choice xmlns:a14="http://schemas.microsoft.com/office/drawing/2010/main" Requires="a14">
        <xdr:graphicFrame macro="">
          <xdr:nvGraphicFramePr>
            <xdr:cNvPr id="82" name="Name">
              <a:extLst>
                <a:ext uri="{FF2B5EF4-FFF2-40B4-BE49-F238E27FC236}">
                  <a16:creationId xmlns:a16="http://schemas.microsoft.com/office/drawing/2014/main" id="{F2A5EF7B-685F-54A6-E544-9A613C75C7F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866121" y="2030730"/>
              <a:ext cx="1709821"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609600</xdr:colOff>
      <xdr:row>32</xdr:row>
      <xdr:rowOff>133351</xdr:rowOff>
    </xdr:from>
    <xdr:to>
      <xdr:col>19</xdr:col>
      <xdr:colOff>430530</xdr:colOff>
      <xdr:row>40</xdr:row>
      <xdr:rowOff>22861</xdr:rowOff>
    </xdr:to>
    <mc:AlternateContent xmlns:mc="http://schemas.openxmlformats.org/markup-compatibility/2006">
      <mc:Choice xmlns:a14="http://schemas.microsoft.com/office/drawing/2010/main" Requires="a14">
        <xdr:graphicFrame macro="">
          <xdr:nvGraphicFramePr>
            <xdr:cNvPr id="83" name="Gender">
              <a:extLst>
                <a:ext uri="{FF2B5EF4-FFF2-40B4-BE49-F238E27FC236}">
                  <a16:creationId xmlns:a16="http://schemas.microsoft.com/office/drawing/2014/main" id="{9AAAEE19-3957-1B89-05DD-8C598C9CEB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50880" y="5985511"/>
              <a:ext cx="174117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6</xdr:row>
      <xdr:rowOff>30480</xdr:rowOff>
    </xdr:from>
    <xdr:to>
      <xdr:col>6</xdr:col>
      <xdr:colOff>262890</xdr:colOff>
      <xdr:row>10</xdr:row>
      <xdr:rowOff>99060</xdr:rowOff>
    </xdr:to>
    <xdr:pic>
      <xdr:nvPicPr>
        <xdr:cNvPr id="86" name="Graphic 85" descr="Office worker male outline">
          <a:extLst>
            <a:ext uri="{FF2B5EF4-FFF2-40B4-BE49-F238E27FC236}">
              <a16:creationId xmlns:a16="http://schemas.microsoft.com/office/drawing/2014/main" id="{19D761F4-D63E-ACD8-7DA9-4C3040CB7D9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83280" y="1127760"/>
          <a:ext cx="720090" cy="800100"/>
        </a:xfrm>
        <a:prstGeom prst="rect">
          <a:avLst/>
        </a:prstGeom>
      </xdr:spPr>
    </xdr:pic>
    <xdr:clientData/>
  </xdr:twoCellAnchor>
  <xdr:twoCellAnchor editAs="oneCell">
    <xdr:from>
      <xdr:col>1</xdr:col>
      <xdr:colOff>213360</xdr:colOff>
      <xdr:row>6</xdr:row>
      <xdr:rowOff>38100</xdr:rowOff>
    </xdr:from>
    <xdr:to>
      <xdr:col>2</xdr:col>
      <xdr:colOff>441960</xdr:colOff>
      <xdr:row>10</xdr:row>
      <xdr:rowOff>60960</xdr:rowOff>
    </xdr:to>
    <xdr:pic>
      <xdr:nvPicPr>
        <xdr:cNvPr id="88" name="Graphic 87" descr="Money outline">
          <a:extLst>
            <a:ext uri="{FF2B5EF4-FFF2-40B4-BE49-F238E27FC236}">
              <a16:creationId xmlns:a16="http://schemas.microsoft.com/office/drawing/2014/main" id="{DF9A847C-254D-5730-C60D-4EEC7DBD0C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3440" y="1135380"/>
          <a:ext cx="868680" cy="754380"/>
        </a:xfrm>
        <a:prstGeom prst="rect">
          <a:avLst/>
        </a:prstGeom>
      </xdr:spPr>
    </xdr:pic>
    <xdr:clientData/>
  </xdr:twoCellAnchor>
  <xdr:twoCellAnchor editAs="oneCell">
    <xdr:from>
      <xdr:col>9</xdr:col>
      <xdr:colOff>217170</xdr:colOff>
      <xdr:row>6</xdr:row>
      <xdr:rowOff>49530</xdr:rowOff>
    </xdr:from>
    <xdr:to>
      <xdr:col>10</xdr:col>
      <xdr:colOff>365760</xdr:colOff>
      <xdr:row>10</xdr:row>
      <xdr:rowOff>68580</xdr:rowOff>
    </xdr:to>
    <xdr:pic>
      <xdr:nvPicPr>
        <xdr:cNvPr id="90" name="Graphic 89" descr="City outline">
          <a:extLst>
            <a:ext uri="{FF2B5EF4-FFF2-40B4-BE49-F238E27FC236}">
              <a16:creationId xmlns:a16="http://schemas.microsoft.com/office/drawing/2014/main" id="{913EE09C-56C4-F6E9-CA3B-3F7C0884FC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77890" y="1146810"/>
          <a:ext cx="788670" cy="750570"/>
        </a:xfrm>
        <a:prstGeom prst="rect">
          <a:avLst/>
        </a:prstGeom>
      </xdr:spPr>
    </xdr:pic>
    <xdr:clientData/>
  </xdr:twoCellAnchor>
  <xdr:twoCellAnchor editAs="oneCell">
    <xdr:from>
      <xdr:col>13</xdr:col>
      <xdr:colOff>251460</xdr:colOff>
      <xdr:row>6</xdr:row>
      <xdr:rowOff>19050</xdr:rowOff>
    </xdr:from>
    <xdr:to>
      <xdr:col>14</xdr:col>
      <xdr:colOff>586740</xdr:colOff>
      <xdr:row>10</xdr:row>
      <xdr:rowOff>102870</xdr:rowOff>
    </xdr:to>
    <xdr:pic>
      <xdr:nvPicPr>
        <xdr:cNvPr id="95" name="Graphic 94" descr="Marker outline">
          <a:extLst>
            <a:ext uri="{FF2B5EF4-FFF2-40B4-BE49-F238E27FC236}">
              <a16:creationId xmlns:a16="http://schemas.microsoft.com/office/drawing/2014/main" id="{A1132948-EBA4-7767-EF3F-3AB5496A1FC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72500" y="1116330"/>
          <a:ext cx="975360" cy="815340"/>
        </a:xfrm>
        <a:prstGeom prst="rect">
          <a:avLst/>
        </a:prstGeom>
      </xdr:spPr>
    </xdr:pic>
    <xdr:clientData/>
  </xdr:twoCellAnchor>
  <xdr:twoCellAnchor editAs="oneCell">
    <xdr:from>
      <xdr:col>17</xdr:col>
      <xdr:colOff>514350</xdr:colOff>
      <xdr:row>6</xdr:row>
      <xdr:rowOff>45720</xdr:rowOff>
    </xdr:from>
    <xdr:to>
      <xdr:col>19</xdr:col>
      <xdr:colOff>220980</xdr:colOff>
      <xdr:row>10</xdr:row>
      <xdr:rowOff>80010</xdr:rowOff>
    </xdr:to>
    <xdr:pic>
      <xdr:nvPicPr>
        <xdr:cNvPr id="97" name="Graphic 96" descr="Work from home desk outline">
          <a:extLst>
            <a:ext uri="{FF2B5EF4-FFF2-40B4-BE49-F238E27FC236}">
              <a16:creationId xmlns:a16="http://schemas.microsoft.com/office/drawing/2014/main" id="{0C6BC381-5EF4-CBEA-4B85-C49B2448A3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395710" y="1143000"/>
          <a:ext cx="986790" cy="765810"/>
        </a:xfrm>
        <a:prstGeom prst="rect">
          <a:avLst/>
        </a:prstGeom>
      </xdr:spPr>
    </xdr:pic>
    <xdr:clientData/>
  </xdr:twoCellAnchor>
  <xdr:twoCellAnchor>
    <xdr:from>
      <xdr:col>0</xdr:col>
      <xdr:colOff>316230</xdr:colOff>
      <xdr:row>11</xdr:row>
      <xdr:rowOff>41910</xdr:rowOff>
    </xdr:from>
    <xdr:to>
      <xdr:col>8</xdr:col>
      <xdr:colOff>396240</xdr:colOff>
      <xdr:row>23</xdr:row>
      <xdr:rowOff>118110</xdr:rowOff>
    </xdr:to>
    <xdr:graphicFrame macro="">
      <xdr:nvGraphicFramePr>
        <xdr:cNvPr id="107" name="Chart 106">
          <a:extLst>
            <a:ext uri="{FF2B5EF4-FFF2-40B4-BE49-F238E27FC236}">
              <a16:creationId xmlns:a16="http://schemas.microsoft.com/office/drawing/2014/main" id="{9FA06FEA-E245-488E-A7E6-52D494433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0555556" backgroundQuery="1" createdVersion="8" refreshedVersion="8" minRefreshableVersion="3" recordCount="0" supportSubquery="1" supportAdvancedDrill="1" xr:uid="{72B5EB26-3AF7-4932-951C-1128493E24ED}">
  <cacheSource type="external" connectionId="3"/>
  <cacheFields count="2">
    <cacheField name="[Measures].[Avg Of Salary]" caption="Avg Of Salary" numFmtId="0" hierarchy="16" level="32767"/>
    <cacheField name="[Employees_salary].[Department].[Department]" caption="Department" numFmtId="0" hierarchy="2" level="1">
      <sharedItems count="7">
        <s v="Finance"/>
        <s v="HR"/>
        <s v="IT"/>
        <s v="Marketing"/>
        <s v="Operations"/>
        <s v="R&amp;D"/>
        <s v="Sales"/>
      </sharedItems>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2"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2"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2"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2" memberValueDatatype="20" unbalanced="0"/>
    <cacheHierarchy uniqueName="[Employees_salary].[Salary]" caption="Salary" attribute="1" defaultMemberUniqueName="[Employees_salary].[Salary].[All]" allUniqueName="[Employees_salary].[Salary].[All]" dimensionUniqueName="[Employees_salary]" displayFolder="" count="2" memberValueDatatype="20" unbalanced="0"/>
    <cacheHierarchy uniqueName="[Employees_salary].[Location]" caption="Location" attribute="1" defaultMemberUniqueName="[Employees_salary].[Location].[All]" allUniqueName="[Employees_salary].[Location].[All]" dimensionUniqueName="[Employees_salary]" displayFolder="" count="2"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2"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oneField="1">
      <fieldsUsage count="1">
        <fieldUsage x="0"/>
      </fieldsUsage>
    </cacheHierarchy>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1134257" backgroundQuery="1" createdVersion="8" refreshedVersion="8" minRefreshableVersion="3" recordCount="0" supportSubquery="1" supportAdvancedDrill="1" xr:uid="{B7D31B60-319E-4EFD-85AA-E0F26BE74E30}">
  <cacheSource type="external" connectionId="3"/>
  <cacheFields count="3">
    <cacheField name="[Jop_Classification].[Job Title].[Job Title]" caption="Job Title" numFmtId="0" hierarchy="10" level="1">
      <sharedItems count="5">
        <s v="Data Scientist"/>
        <s v="IT Manager"/>
        <s v="R&amp;D Manager"/>
        <s v="Software Engineer"/>
        <s v="System Admin"/>
      </sharedItems>
    </cacheField>
    <cacheField name="[Measures].[Avg Of Salary]" caption="Avg Of Salary" numFmtId="0" hierarchy="16"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2"/>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fieldsUsage count="2">
        <fieldUsage x="-1"/>
        <fieldUsage x="0"/>
      </fieldsUsage>
    </cacheHierarchy>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oneField="1">
      <fieldsUsage count="1">
        <fieldUsage x="1"/>
      </fieldsUsage>
    </cacheHierarchy>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148148" backgroundQuery="1" createdVersion="8" refreshedVersion="8" minRefreshableVersion="3" recordCount="0" supportSubquery="1" supportAdvancedDrill="1" xr:uid="{FAAD3473-88BE-46A4-B404-5805A41DC8EE}">
  <cacheSource type="external" connectionId="3"/>
  <cacheFields count="3">
    <cacheField name="[Measures].[Avg Of Salary]" caption="Avg Of Salary" numFmtId="0" hierarchy="16" level="32767"/>
    <cacheField name="[Employees_salary].[Experience (Years)].[Experience (Years)]" caption="Experience (Years)" numFmtId="0" hierarchy="6"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Employees_salary].[Experience (Years)].&amp;[0]"/>
            <x15:cachedUniqueName index="1" name="[Employees_salary].[Experience (Years)].&amp;[1]"/>
            <x15:cachedUniqueName index="2" name="[Employees_salary].[Experience (Years)].&amp;[2]"/>
            <x15:cachedUniqueName index="3" name="[Employees_salary].[Experience (Years)].&amp;[3]"/>
            <x15:cachedUniqueName index="4" name="[Employees_salary].[Experience (Years)].&amp;[4]"/>
            <x15:cachedUniqueName index="5" name="[Employees_salary].[Experience (Years)].&amp;[5]"/>
            <x15:cachedUniqueName index="6" name="[Employees_salary].[Experience (Years)].&amp;[6]"/>
            <x15:cachedUniqueName index="7" name="[Employees_salary].[Experience (Years)].&amp;[7]"/>
            <x15:cachedUniqueName index="8" name="[Employees_salary].[Experience (Years)].&amp;[8]"/>
            <x15:cachedUniqueName index="9" name="[Employees_salary].[Experience (Years)].&amp;[9]"/>
            <x15:cachedUniqueName index="10" name="[Employees_salary].[Experience (Years)].&amp;[10]"/>
            <x15:cachedUniqueName index="11" name="[Employees_salary].[Experience (Years)].&amp;[11]"/>
            <x15:cachedUniqueName index="12" name="[Employees_salary].[Experience (Years)].&amp;[12]"/>
            <x15:cachedUniqueName index="13" name="[Employees_salary].[Experience (Years)].&amp;[13]"/>
            <x15:cachedUniqueName index="14" name="[Employees_salary].[Experience (Years)].&amp;[14]"/>
            <x15:cachedUniqueName index="15" name="[Employees_salary].[Experience (Years)].&amp;[15]"/>
            <x15:cachedUniqueName index="16" name="[Employees_salary].[Experience (Years)].&amp;[16]"/>
            <x15:cachedUniqueName index="17" name="[Employees_salary].[Experience (Years)].&amp;[17]"/>
            <x15:cachedUniqueName index="18" name="[Employees_salary].[Experience (Years)].&amp;[18]"/>
            <x15:cachedUniqueName index="19" name="[Employees_salary].[Experience (Years)].&amp;[19]"/>
            <x15:cachedUniqueName index="20" name="[Employees_salary].[Experience (Years)].&amp;[20]"/>
            <x15:cachedUniqueName index="21" name="[Employees_salary].[Experience (Years)].&amp;[21]"/>
            <x15:cachedUniqueName index="22" name="[Employees_salary].[Experience (Years)].&amp;[22]"/>
            <x15:cachedUniqueName index="23" name="[Employees_salary].[Experience (Years)].&amp;[23]"/>
            <x15:cachedUniqueName index="24" name="[Employees_salary].[Experience (Years)].&amp;[24]"/>
            <x15:cachedUniqueName index="25" name="[Employees_salary].[Experience (Years)].&amp;[25]"/>
            <x15:cachedUniqueName index="26" name="[Employees_salary].[Experience (Years)].&amp;[26]"/>
            <x15:cachedUniqueName index="27" name="[Employees_salary].[Experience (Years)].&amp;[27]"/>
            <x15:cachedUniqueName index="28" name="[Employees_salary].[Experience (Years)].&amp;[28]"/>
            <x15:cachedUniqueName index="29" name="[Employees_salary].[Experience (Years)].&amp;[29]"/>
            <x15:cachedUniqueName index="30" name="[Employees_salary].[Experience (Years)].&amp;[30]"/>
            <x15:cachedUniqueName index="31" name="[Employees_salary].[Experience (Years)].&amp;[31]"/>
            <x15:cachedUniqueName index="32" name="[Employees_salary].[Experience (Years)].&amp;[32]"/>
            <x15:cachedUniqueName index="33" name="[Employees_salary].[Experience (Years)].&amp;[33]"/>
            <x15:cachedUniqueName index="34" name="[Employees_salary].[Experience (Years)].&amp;[34]"/>
            <x15:cachedUniqueName index="35" name="[Employees_salary].[Experience (Years)].&amp;[37]"/>
          </x15:cachedUniqueNames>
        </ext>
      </extLst>
    </cacheField>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2"/>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2" memberValueDatatype="20" unbalanced="0">
      <fieldsUsage count="2">
        <fieldUsage x="-1"/>
        <fieldUsage x="1"/>
      </fieldsUsage>
    </cacheHierarchy>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oneField="1">
      <fieldsUsage count="1">
        <fieldUsage x="0"/>
      </fieldsUsage>
    </cacheHierarchy>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1828704" backgroundQuery="1" createdVersion="8" refreshedVersion="8" minRefreshableVersion="3" recordCount="0" supportSubquery="1" supportAdvancedDrill="1" xr:uid="{981EDEFD-14D9-41D8-915B-09B21835C6BA}">
  <cacheSource type="external" connectionId="3"/>
  <cacheFields count="3">
    <cacheField name="[Measures].[Avg Of Salary]" caption="Avg Of Salary" numFmtId="0" hierarchy="16" level="32767"/>
    <cacheField name="[Employees_salary].[Education Level].[Education Level]" caption="Education Level" numFmtId="0" hierarchy="9" level="1">
      <sharedItems count="4">
        <s v="BSC"/>
        <s v="High School"/>
        <s v="Master"/>
        <s v="PhD"/>
      </sharedItems>
    </cacheField>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2"/>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2" memberValueDatatype="130" unbalanced="0">
      <fieldsUsage count="2">
        <fieldUsage x="-1"/>
        <fieldUsage x="1"/>
      </fieldsUsage>
    </cacheHierarchy>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oneField="1">
      <fieldsUsage count="1">
        <fieldUsage x="0"/>
      </fieldsUsage>
    </cacheHierarchy>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2175927" backgroundQuery="1" createdVersion="8" refreshedVersion="8" minRefreshableVersion="3" recordCount="0" supportSubquery="1" supportAdvancedDrill="1" xr:uid="{AD0F3815-2F18-4903-A5FC-BA68F9109053}">
  <cacheSource type="external" connectionId="3"/>
  <cacheFields count="3">
    <cacheField name="[Measures].[Avg Of Salary]" caption="Avg Of Salary" numFmtId="0" hierarchy="16" level="32767"/>
    <cacheField name="[Employees_salary].[Location].[Location]" caption="Location" numFmtId="0" hierarchy="8" level="1">
      <sharedItems count="7">
        <s v="Denver"/>
        <s v="Fort Worth"/>
        <s v="Houston"/>
        <s v="Indianapolis"/>
        <s v="Philadelphia"/>
        <s v="San Jose"/>
        <s v="Seattle"/>
      </sharedItems>
    </cacheField>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2"/>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2" memberValueDatatype="130" unbalanced="0">
      <fieldsUsage count="2">
        <fieldUsage x="-1"/>
        <fieldUsage x="1"/>
      </fieldsUsage>
    </cacheHierarchy>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oneField="1">
      <fieldsUsage count="1">
        <fieldUsage x="0"/>
      </fieldsUsage>
    </cacheHierarchy>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2407404" backgroundQuery="1" createdVersion="8" refreshedVersion="8" minRefreshableVersion="3" recordCount="0" supportSubquery="1" supportAdvancedDrill="1" xr:uid="{FB4A3065-E61F-4190-82BA-99785AE8EAD5}">
  <cacheSource type="external" connectionId="3"/>
  <cacheFields count="2">
    <cacheField name="[Measures].[Distinct Count of Department]" caption="Distinct Count of Department" numFmtId="0" hierarchy="24"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252315" backgroundQuery="1" createdVersion="8" refreshedVersion="8" minRefreshableVersion="3" recordCount="0" supportSubquery="1" supportAdvancedDrill="1" xr:uid="{686A381C-B86C-44D9-9D9E-FA05E2CC763C}">
  <cacheSource type="external" connectionId="3"/>
  <cacheFields count="2">
    <cacheField name="[Measures].[Count of Employee ID]" caption="Count of Employee ID" numFmtId="0" hierarchy="20"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2754627" backgroundQuery="1" createdVersion="8" refreshedVersion="8" minRefreshableVersion="3" recordCount="0" supportSubquery="1" supportAdvancedDrill="1" xr:uid="{1C8D1A42-95B1-4B44-9A82-29ED4BD334C3}">
  <cacheSource type="external" connectionId="3"/>
  <cacheFields count="2">
    <cacheField name="[Measures].[Distinct Count of Location]" caption="Distinct Count of Location" numFmtId="0" hierarchy="23"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oneField="1" hidden="1">
      <fieldsUsage count="1">
        <fieldUsage x="0"/>
      </fieldsUsage>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2870373" backgroundQuery="1" createdVersion="8" refreshedVersion="8" minRefreshableVersion="3" recordCount="0" supportSubquery="1" supportAdvancedDrill="1" xr:uid="{C3A7E7CE-674C-459F-8154-74BF0C9A3C7E}">
  <cacheSource type="external" connectionId="3"/>
  <cacheFields count="2">
    <cacheField name="[Measures].[Distinct Count of Job Title]" caption="Distinct Count of Job Title" numFmtId="0" hierarchy="26"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550233101851" backgroundQuery="1" createdVersion="8" refreshedVersion="8" minRefreshableVersion="3" recordCount="0" supportSubquery="1" supportAdvancedDrill="1" xr:uid="{BE12193B-CC0D-44E5-8312-68CBA7BB6B46}">
  <cacheSource type="external" connectionId="3"/>
  <cacheFields count="2">
    <cacheField name="[Measures].[Total Salary]" caption="Total Salary" numFmtId="0" hierarchy="15" level="32767"/>
    <cacheField name="[Employees_salary].[Department].[Department]" caption="Department" numFmtId="0" hierarchy="2" level="1">
      <sharedItems containsSemiMixedTypes="0" containsNonDate="0" containsString="0"/>
    </cacheField>
  </cacheFields>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fieldsUsage count="2">
        <fieldUsage x="-1"/>
        <fieldUsage x="1"/>
      </fieldsUsage>
    </cacheHierarchy>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oneField="1">
      <fieldsUsage count="1">
        <fieldUsage x="0"/>
      </fieldsUsage>
    </cacheHierarchy>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dimensions count="3">
    <dimension name="Employees_salary" uniqueName="[Employees_salary]" caption="Employees_salary"/>
    <dimension name="Jop_Classification" uniqueName="[Jop_Classification]" caption="Jop_Classification"/>
    <dimension measure="1" name="Measures" uniqueName="[Measures]" caption="Measures"/>
  </dimensions>
  <measureGroups count="2">
    <measureGroup name="Employees_salary" caption="Employees_salary"/>
    <measureGroup name="Jop_Classification" caption="Jop_Classification"/>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ore" refreshedDate="46117.458942824072" backgroundQuery="1" createdVersion="3" refreshedVersion="8" minRefreshableVersion="3" recordCount="0" supportSubquery="1" supportAdvancedDrill="1" xr:uid="{6B6E5E92-B14D-4AE8-97CA-B4B129C2571E}">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Employees_salary].[Employee ID]" caption="Employee ID" attribute="1" defaultMemberUniqueName="[Employees_salary].[Employee ID].[All]" allUniqueName="[Employees_salary].[Employee ID].[All]" dimensionUniqueName="[Employees_salary]" displayFolder="" count="0" memberValueDatatype="130" unbalanced="0"/>
    <cacheHierarchy uniqueName="[Employees_salary].[Name]" caption="Name" attribute="1" defaultMemberUniqueName="[Employees_salary].[Name].[All]" allUniqueName="[Employees_salary].[Name].[All]" dimensionUniqueName="[Employees_salary]" displayFolder="" count="2" memberValueDatatype="130" unbalanced="0"/>
    <cacheHierarchy uniqueName="[Employees_salary].[Department]" caption="Department" attribute="1" defaultMemberUniqueName="[Employees_salary].[Department].[All]" allUniqueName="[Employees_salary].[Department].[All]" dimensionUniqueName="[Employees_salary]" displayFolder="" count="2" memberValueDatatype="130" unbalanced="0"/>
    <cacheHierarchy uniqueName="[Employees_salary].[Job Title]" caption="Job Title" attribute="1" defaultMemberUniqueName="[Employees_salary].[Job Title].[All]" allUniqueName="[Employees_salary].[Job Title].[All]" dimensionUniqueName="[Employees_salary]" displayFolder="" count="0" memberValueDatatype="130" unbalanced="0"/>
    <cacheHierarchy uniqueName="[Employees_salary].[Gender]" caption="Gender" attribute="1" defaultMemberUniqueName="[Employees_salary].[Gender].[All]" allUniqueName="[Employees_salary].[Gender].[All]" dimensionUniqueName="[Employees_salary]" displayFolder="" count="2" memberValueDatatype="130" unbalanced="0"/>
    <cacheHierarchy uniqueName="[Employees_salary].[Age]" caption="Age" attribute="1" defaultMemberUniqueName="[Employees_salary].[Age].[All]" allUniqueName="[Employees_salary].[Age].[All]" dimensionUniqueName="[Employees_salary]" displayFolder="" count="0" memberValueDatatype="20" unbalanced="0"/>
    <cacheHierarchy uniqueName="[Employees_salary].[Experience (Years)]" caption="Experience (Years)" attribute="1" defaultMemberUniqueName="[Employees_salary].[Experience (Years)].[All]" allUniqueName="[Employees_salary].[Experience (Years)].[All]" dimensionUniqueName="[Employees_salary]" displayFolder="" count="0" memberValueDatatype="20" unbalanced="0"/>
    <cacheHierarchy uniqueName="[Employees_salary].[Salary]" caption="Salary" attribute="1" defaultMemberUniqueName="[Employees_salary].[Salary].[All]" allUniqueName="[Employees_salary].[Salary].[All]" dimensionUniqueName="[Employees_salary]" displayFolder="" count="0" memberValueDatatype="20" unbalanced="0"/>
    <cacheHierarchy uniqueName="[Employees_salary].[Location]" caption="Location" attribute="1" defaultMemberUniqueName="[Employees_salary].[Location].[All]" allUniqueName="[Employees_salary].[Location].[All]" dimensionUniqueName="[Employees_salary]" displayFolder="" count="0" memberValueDatatype="130" unbalanced="0"/>
    <cacheHierarchy uniqueName="[Employees_salary].[Education Level]" caption="Education Level" attribute="1" defaultMemberUniqueName="[Employees_salary].[Education Level].[All]" allUniqueName="[Employees_salary].[Education Level].[All]" dimensionUniqueName="[Employees_salary]" displayFolder="" count="0" memberValueDatatype="130" unbalanced="0"/>
    <cacheHierarchy uniqueName="[Jop_Classification].[Job Title]" caption="Job Title" attribute="1" defaultMemberUniqueName="[Jop_Classification].[Job Title].[All]" allUniqueName="[Jop_Classification].[Job Title].[All]" dimensionUniqueName="[Jop_Classification]" displayFolder="" count="2" memberValueDatatype="130" unbalanced="0"/>
    <cacheHierarchy uniqueName="[Jop_Classification].[Job Level]" caption="Job Level" attribute="1" defaultMemberUniqueName="[Jop_Classification].[Job Level].[All]" allUniqueName="[Jop_Classification].[Job Level].[All]" dimensionUniqueName="[Jop_Classification]" displayFolder="" count="2" memberValueDatatype="130" unbalanced="0"/>
    <cacheHierarchy uniqueName="[Measures].[Employees]" caption="Employees" measure="1" displayFolder="" measureGroup="Employees_salary" count="0"/>
    <cacheHierarchy uniqueName="[Measures].[Departments]" caption="Departments" measure="1" displayFolder="" measureGroup="Employees_salary" count="0"/>
    <cacheHierarchy uniqueName="[Measures].[Locations]" caption="Locations" measure="1" displayFolder="" measureGroup="Employees_salary" count="0"/>
    <cacheHierarchy uniqueName="[Measures].[Total Salary]" caption="Total Salary" measure="1" displayFolder="" measureGroup="Employees_salary" count="0"/>
    <cacheHierarchy uniqueName="[Measures].[Avg Of Salary]" caption="Avg Of Salary" measure="1" displayFolder="" measureGroup="Employees_salary" count="0"/>
    <cacheHierarchy uniqueName="[Measures].[__XL_Count Employees_salary]" caption="__XL_Count Employees_salary" measure="1" displayFolder="" measureGroup="Employees_salary" count="0" hidden="1"/>
    <cacheHierarchy uniqueName="[Measures].[__XL_Count Jop_Classification]" caption="__XL_Count Jop_Classification" measure="1" displayFolder="" measureGroup="Jop_Classification" count="0" hidden="1"/>
    <cacheHierarchy uniqueName="[Measures].[__No measures defined]" caption="__No measures defined" measure="1" displayFolder="" count="0" hidden="1"/>
    <cacheHierarchy uniqueName="[Measures].[Count of Employee ID]" caption="Count of Employee ID" measure="1" displayFolder="" measureGroup="Employees_salary" count="0" hidden="1">
      <extLst>
        <ext xmlns:x15="http://schemas.microsoft.com/office/spreadsheetml/2010/11/main" uri="{B97F6D7D-B522-45F9-BDA1-12C45D357490}">
          <x15:cacheHierarchy aggregatedColumn="0"/>
        </ext>
      </extLst>
    </cacheHierarchy>
    <cacheHierarchy uniqueName="[Measures].[Count of Location]" caption="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Distinct Count of Location]" caption="Distinct Count of Location" measure="1" displayFolder="" measureGroup="Employees_salary"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Employees_salary" count="0" hidden="1">
      <extLst>
        <ext xmlns:x15="http://schemas.microsoft.com/office/spreadsheetml/2010/11/main" uri="{B97F6D7D-B522-45F9-BDA1-12C45D357490}">
          <x15:cacheHierarchy aggregatedColumn="2"/>
        </ext>
      </extLst>
    </cacheHierarchy>
    <cacheHierarchy uniqueName="[Measures].[Count of Job Title]" caption="Count of Job Title" measure="1" displayFolder="" measureGroup="Jop_Classification" count="0" hidden="1">
      <extLst>
        <ext xmlns:x15="http://schemas.microsoft.com/office/spreadsheetml/2010/11/main" uri="{B97F6D7D-B522-45F9-BDA1-12C45D357490}">
          <x15:cacheHierarchy aggregatedColumn="10"/>
        </ext>
      </extLst>
    </cacheHierarchy>
    <cacheHierarchy uniqueName="[Measures].[Distinct Count of Job Title]" caption="Distinct Count of Job Title" measure="1" displayFolder="" measureGroup="Jop_Classification"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6662422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C7DF3-30CC-487A-8117-F7DAF228C102}" name="Total of Jops" cacheId="80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 Title"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Job Titl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p_Classifi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1F5FC-A1B7-44DA-BBFF-62E8295F2B49}" name="Salary for Dept" cacheId="8071" applyNumberFormats="0" applyBorderFormats="0" applyFontFormats="0" applyPatternFormats="0" applyAlignmentFormats="0" applyWidthHeightFormats="1" dataCaption="Values" tag="4c080e24-b562-4b38-91ca-7e596958c3c2" updatedVersion="8" minRefreshableVersion="3" useAutoFormatting="1" subtotalHiddenItems="1" itemPrintTitles="1" createdVersion="8" indent="0" outline="1" outlineData="1" multipleFieldFilters="0" chartFormat="8">
  <location ref="E19:F2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activeTabTopLevelEntity name="[Jop_Classifi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CB3451-147A-4F35-8EF7-951433257A09}" name="Salary For Location" cacheId="8083" applyNumberFormats="0" applyBorderFormats="0" applyFontFormats="0" applyPatternFormats="0" applyAlignmentFormats="0" applyWidthHeightFormats="1" dataCaption="Values" tag="828ffc2a-5f05-4c48-83e0-12812d63529a" updatedVersion="8" minRefreshableVersion="3" useAutoFormatting="1" itemPrintTitles="1" createdVersion="8" indent="0" outline="1" outlineData="1" multipleFieldFilters="0" chartFormat="12">
  <location ref="E4:F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369E2-2E3B-4B53-B4F8-8E58FEED2461}" name="Total Locations" cacheId="8092" applyNumberFormats="0" applyBorderFormats="0" applyFontFormats="0" applyPatternFormats="0" applyAlignmentFormats="0" applyWidthHeightFormats="1" dataCaption="Values" tag="4d2083f8-378e-4fbc-a8d8-8422fdf20238" updatedVersion="8" minRefreshableVersion="3" useAutoFormatting="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Location"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Locatio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2A067C-A553-473E-9A42-000D0AD7DCA5}" name="Total Employees" cacheId="8089" applyNumberFormats="0" applyBorderFormats="0" applyFontFormats="0" applyPatternFormats="0" applyAlignmentFormats="0" applyWidthHeightFormats="1" dataCaption="Values" tag="94f5d800-32c8-4bed-8194-6e0f1b33d7d1"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dataField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FCBE31-3F3E-4B34-A9A1-5990A8B5CD50}" name="Salary For Education" cacheId="8080" applyNumberFormats="0" applyBorderFormats="0" applyFontFormats="0" applyPatternFormats="0" applyAlignmentFormats="0" applyWidthHeightFormats="1" dataCaption="Values" tag="b5f72383-80e8-47ea-9c8b-5f3a1e4a4621" updatedVersion="8" minRefreshableVersion="3" useAutoFormatting="1" subtotalHiddenItems="1" itemPrintTitles="1" createdVersion="8" indent="0" outline="1" outlineData="1" multipleFieldFilters="0" chartFormat="10">
  <location ref="J5:K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BC69EE-C1EB-434C-A96B-EA3B640AC744}" name="Most Top10 of Jops" cacheId="8074" applyNumberFormats="0" applyBorderFormats="0" applyFontFormats="0" applyPatternFormats="0" applyAlignmentFormats="0" applyWidthHeightFormats="1" dataCaption="Values" tag="ca4aad01-0c8b-4f5f-90bd-9d6e6fbf5e7c" updatedVersion="8" minRefreshableVersion="3" useAutoFormatting="1" subtotalHiddenItems="1" itemPrintTitles="1" createdVersion="8" indent="0" outline="1" outlineData="1" multipleFieldFilters="0" chartFormat="38">
  <location ref="N5:O11"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p_Classification]"/>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534596-3C95-4F8A-9B89-ED5A042CEDEA}" name="Total Departments" cacheId="8086" applyNumberFormats="0" applyBorderFormats="0" applyFontFormats="0" applyPatternFormats="0" applyAlignmentFormats="0" applyWidthHeightFormats="1" dataCaption="Values" tag="3d3543a8-a161-47d5-8682-dc99e12c9cb4" updatedVersion="8" minRefreshableVersion="3"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epartment"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Departme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F83707-7833-4EE7-9A3D-4AF4DD986E54}" name="Total Salary" cacheId="8098" applyNumberFormats="0" applyBorderFormats="0" applyFontFormats="0" applyPatternFormats="0" applyAlignmentFormats="0" applyWidthHeightFormats="1" dataCaption="Values" tag="8b9e333f-aa7a-42d9-9f01-04de56527985"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35CDF2-A26B-4AFF-9341-0AB4529617D7}" name="PivotTable10" cacheId="8077" applyNumberFormats="0" applyBorderFormats="0" applyFontFormats="0" applyPatternFormats="0" applyAlignmentFormats="0" applyWidthHeightFormats="1" dataCaption="Values" tag="7e92def9-de21-4a01-94a2-c52d6977bcd6" updatedVersion="8" minRefreshableVersion="3" useAutoFormatting="1" subtotalHiddenItems="1" itemPrintTitles="1" createdVersion="8" indent="0" outline="1" outlineData="1" multipleFieldFilters="0" chartFormat="15">
  <location ref="J17:K54" firstHeaderRow="1" firstDataRow="1" firstDataCol="1"/>
  <pivotFields count="3">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fld="0" subtotal="count"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sal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0AB5C3C-7045-416A-964A-92224C41F2D7}" autoFormatId="16" applyNumberFormats="0" applyBorderFormats="0" applyFontFormats="0" applyPatternFormats="0" applyAlignmentFormats="0" applyWidthHeightFormats="0">
  <queryTableRefresh nextId="3">
    <queryTableFields count="2">
      <queryTableField id="1" name="Job Title" tableColumnId="1"/>
      <queryTableField id="2" name="Job Level"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1747F08-F979-40B2-BCA9-138E4B14F36F}" autoFormatId="16" applyNumberFormats="0" applyBorderFormats="0" applyFontFormats="0" applyPatternFormats="0" applyAlignmentFormats="0" applyWidthHeightFormats="0">
  <queryTableRefresh nextId="11">
    <queryTableFields count="10">
      <queryTableField id="1" name="Employee ID" tableColumnId="1"/>
      <queryTableField id="2" name="Name" tableColumnId="2"/>
      <queryTableField id="3" name="Department" tableColumnId="3"/>
      <queryTableField id="4" name="Job Title" tableColumnId="4"/>
      <queryTableField id="5" name="Gender" tableColumnId="5"/>
      <queryTableField id="6" name="Age" tableColumnId="6"/>
      <queryTableField id="7" name="Experience (Years)" tableColumnId="7"/>
      <queryTableField id="8" name="Salary" tableColumnId="8"/>
      <queryTableField id="9" name="Location" tableColumnId="9"/>
      <queryTableField id="10" name="Education Level"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C0CACA7-09E0-46EA-89A1-E923B9AE74AB}" sourceName="[Employees_salary].[Department]">
  <pivotTables>
    <pivotTable tabId="4" name="Salary for Dept"/>
    <pivotTable tabId="4" name="Most Top10 of Jops"/>
    <pivotTable tabId="4" name="PivotTable10"/>
    <pivotTable tabId="4" name="Salary For Education"/>
    <pivotTable tabId="4" name="Salary For Location"/>
    <pivotTable tabId="4" name="Total Departments"/>
    <pivotTable tabId="4" name="Total Employees"/>
    <pivotTable tabId="4" name="Total Locations"/>
    <pivotTable tabId="4" name="Total of Jops"/>
    <pivotTable tabId="4" name="Total Salary"/>
  </pivotTables>
  <data>
    <olap pivotCacheId="666242244">
      <levels count="2">
        <level uniqueName="[Employees_salary].[Department].[(All)]" sourceCaption="(All)" count="0"/>
        <level uniqueName="[Employees_salary].[Department].[Department]" sourceCaption="Department" count="7">
          <ranges>
            <range startItem="0">
              <i n="[Employees_salary].[Department].&amp;[Finance]" c="Finance"/>
              <i n="[Employees_salary].[Department].&amp;[HR]" c="HR"/>
              <i n="[Employees_salary].[Department].&amp;[IT]" c="IT"/>
              <i n="[Employees_salary].[Department].&amp;[Marketing]" c="Marketing"/>
              <i n="[Employees_salary].[Department].&amp;[Operations]" c="Operations"/>
              <i n="[Employees_salary].[Department].&amp;[R&amp;D]" c="R&amp;D"/>
              <i n="[Employees_salary].[Department].&amp;[Sales]" c="Sales"/>
            </range>
          </ranges>
        </level>
      </levels>
      <selections count="1">
        <selection n="[Employees_salary].[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56B99D66-BB90-4CA4-A773-C099993E58B5}" sourceName="[Jop_Classification].[Job Level]">
  <pivotTables>
    <pivotTable tabId="4" name="Salary for Dept"/>
    <pivotTable tabId="4" name="Most Top10 of Jops"/>
    <pivotTable tabId="4" name="PivotTable10"/>
    <pivotTable tabId="4" name="Salary For Education"/>
    <pivotTable tabId="4" name="Salary For Location"/>
    <pivotTable tabId="4" name="Total Departments"/>
    <pivotTable tabId="4" name="Total Employees"/>
    <pivotTable tabId="4" name="Total Locations"/>
    <pivotTable tabId="4" name="Total of Jops"/>
    <pivotTable tabId="4" name="Total Salary"/>
  </pivotTables>
  <data>
    <olap pivotCacheId="666242244">
      <levels count="2">
        <level uniqueName="[Jop_Classification].[Job Level].[(All)]" sourceCaption="(All)" count="0"/>
        <level uniqueName="[Jop_Classification].[Job Level].[Job Level]" sourceCaption="Job Level" count="3">
          <ranges>
            <range startItem="0">
              <i n="[Jop_Classification].[Job Level].&amp;[Entry Level]" c="Entry Level"/>
              <i n="[Jop_Classification].[Job Level].&amp;[Manager]" c="Manager"/>
              <i n="[Jop_Classification].[Job Level].&amp;[Mid Level]" c="Mid Level"/>
            </range>
          </ranges>
        </level>
      </levels>
      <selections count="1">
        <selection n="[Jop_Classification].[Job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88AE356C-9266-44F8-91DE-E443A5B00302}" sourceName="[Jop_Classification].[Job Title]">
  <pivotTables>
    <pivotTable tabId="4" name="Salary for Dept"/>
    <pivotTable tabId="4" name="PivotTable10"/>
    <pivotTable tabId="4" name="Salary For Education"/>
    <pivotTable tabId="4" name="Salary For Location"/>
    <pivotTable tabId="4" name="Total Departments"/>
    <pivotTable tabId="4" name="Total Employees"/>
    <pivotTable tabId="4" name="Total Locations"/>
    <pivotTable tabId="4" name="Total of Jops"/>
    <pivotTable tabId="4" name="Total Salary"/>
  </pivotTables>
  <data>
    <olap pivotCacheId="666242244">
      <levels count="2">
        <level uniqueName="[Jop_Classification].[Job Title].[(All)]" sourceCaption="(All)" count="0"/>
        <level uniqueName="[Jop_Classification].[Job Title].[Job Title]" sourceCaption="Job Title" count="21">
          <ranges>
            <range startItem="0">
              <i n="[Jop_Classification].[Job Title].&amp;[Account Manager]" c="Account Manager"/>
              <i n="[Jop_Classification].[Job Title].&amp;[Accountant]" c="Accountant"/>
              <i n="[Jop_Classification].[Job Title].&amp;[Data Scientist]" c="Data Scientist"/>
              <i n="[Jop_Classification].[Job Title].&amp;[Finance Manager]" c="Finance Manager"/>
              <i n="[Jop_Classification].[Job Title].&amp;[Financial Analyst]" c="Financial Analyst"/>
              <i n="[Jop_Classification].[Job Title].&amp;[HR Assistant]" c="HR Assistant"/>
              <i n="[Jop_Classification].[Job Title].&amp;[HR Manager]" c="HR Manager"/>
              <i n="[Jop_Classification].[Job Title].&amp;[IT Manager]" c="IT Manager"/>
              <i n="[Jop_Classification].[Job Title].&amp;[Logistics Coordinator]" c="Logistics Coordinator"/>
              <i n="[Jop_Classification].[Job Title].&amp;[Marketing Executive]" c="Marketing Executive"/>
              <i n="[Jop_Classification].[Job Title].&amp;[Marketing Manager]" c="Marketing Manager"/>
              <i n="[Jop_Classification].[Job Title].&amp;[Operations Executive]" c="Operations Executive"/>
              <i n="[Jop_Classification].[Job Title].&amp;[Operations Manager]" c="Operations Manager"/>
              <i n="[Jop_Classification].[Job Title].&amp;[R&amp;D Manager]" c="R&amp;D Manager"/>
              <i n="[Jop_Classification].[Job Title].&amp;[Recruiter]" c="Recruiter"/>
              <i n="[Jop_Classification].[Job Title].&amp;[Research Analyst]" c="Research Analyst"/>
              <i n="[Jop_Classification].[Job Title].&amp;[Sales Executive]" c="Sales Executive"/>
              <i n="[Jop_Classification].[Job Title].&amp;[Sales Manager]" c="Sales Manager"/>
              <i n="[Jop_Classification].[Job Title].&amp;[SEO Specialist]" c="SEO Specialist"/>
              <i n="[Jop_Classification].[Job Title].&amp;[Software Engineer]" c="Software Engineer"/>
              <i n="[Jop_Classification].[Job Title].&amp;[System Admin]" c="System Admin"/>
            </range>
          </ranges>
        </level>
      </levels>
      <selections count="1">
        <selection n="[Jop_Classification].[Job Tit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299BA7F-9AD1-46EB-B240-F0055B2DA5FF}" sourceName="[Employees_salary].[Name]">
  <pivotTables>
    <pivotTable tabId="4" name="Salary for Dept"/>
    <pivotTable tabId="4" name="Most Top10 of Jops"/>
    <pivotTable tabId="4" name="PivotTable10"/>
    <pivotTable tabId="4" name="Salary For Education"/>
    <pivotTable tabId="4" name="Salary For Location"/>
    <pivotTable tabId="4" name="Total Departments"/>
    <pivotTable tabId="4" name="Total Employees"/>
    <pivotTable tabId="4" name="Total Locations"/>
    <pivotTable tabId="4" name="Total of Jops"/>
    <pivotTable tabId="4" name="Total Salary"/>
  </pivotTables>
  <data>
    <olap pivotCacheId="666242244">
      <levels count="2">
        <level uniqueName="[Employees_salary].[Name].[(All)]" sourceCaption="(All)" count="0"/>
        <level uniqueName="[Employees_salary].[Name].[Name]" sourceCaption="Name" count="499">
          <ranges>
            <range startItem="0">
              <i n="[Employees_salary].[Name].&amp;[Aaron Phillips]" c="Aaron Phillips"/>
              <i n="[Employees_salary].[Name].&amp;[Adriana Gomez]" c="Adriana Gomez"/>
              <i n="[Employees_salary].[Name].&amp;[Adriana Perry]" c="Adriana Perry"/>
              <i n="[Employees_salary].[Name].&amp;[Alexandra Stark]" c="Alexandra Stark"/>
              <i n="[Employees_salary].[Name].&amp;[Alicia Mullen]" c="Alicia Mullen"/>
              <i n="[Employees_salary].[Name].&amp;[Alison Miller]" c="Alison Miller"/>
              <i n="[Employees_salary].[Name].&amp;[Allison Berg]" c="Allison Berg"/>
              <i n="[Employees_salary].[Name].&amp;[Allison Robertson]" c="Allison Robertson"/>
              <i n="[Employees_salary].[Name].&amp;[Alyssa Jones]" c="Alyssa Jones"/>
              <i n="[Employees_salary].[Name].&amp;[Amanda Mendez]" c="Amanda Mendez"/>
              <i n="[Employees_salary].[Name].&amp;[Amanda Willis]" c="Amanda Willis"/>
              <i n="[Employees_salary].[Name].&amp;[Amber Oconnor]" c="Amber Oconnor"/>
              <i n="[Employees_salary].[Name].&amp;[Amy Castillo]" c="Amy Castillo"/>
              <i n="[Employees_salary].[Name].&amp;[Amy Hall]" c="Amy Hall"/>
              <i n="[Employees_salary].[Name].&amp;[Amy Schwartz]" c="Amy Schwartz"/>
              <i n="[Employees_salary].[Name].&amp;[Amy Smith]" c="Amy Smith"/>
              <i n="[Employees_salary].[Name].&amp;[Amy Thompson]" c="Amy Thompson"/>
              <i n="[Employees_salary].[Name].&amp;[Andrew Burns]" c="Andrew Burns"/>
              <i n="[Employees_salary].[Name].&amp;[Andrew Johnson]" c="Andrew Johnson"/>
              <i n="[Employees_salary].[Name].&amp;[Angela Adams]" c="Angela Adams"/>
              <i n="[Employees_salary].[Name].&amp;[Angela Anderson]" c="Angela Anderson"/>
              <i n="[Employees_salary].[Name].&amp;[Angela Murphy]" c="Angela Murphy"/>
              <i n="[Employees_salary].[Name].&amp;[Angela Scott]" c="Angela Scott"/>
              <i n="[Employees_salary].[Name].&amp;[Angelica Smith]" c="Angelica Smith"/>
              <i n="[Employees_salary].[Name].&amp;[Anita Myers]" c="Anita Myers"/>
              <i n="[Employees_salary].[Name].&amp;[Anita Sharp]" c="Anita Sharp"/>
              <i n="[Employees_salary].[Name].&amp;[Anna Munoz]" c="Anna Munoz"/>
              <i n="[Employees_salary].[Name].&amp;[Annette Williams]" c="Annette Williams"/>
              <i n="[Employees_salary].[Name].&amp;[Anthony Baker]" c="Anthony Baker"/>
              <i n="[Employees_salary].[Name].&amp;[Anthony Hammond]" c="Anthony Hammond"/>
              <i n="[Employees_salary].[Name].&amp;[Arthur May]" c="Arthur May"/>
              <i n="[Employees_salary].[Name].&amp;[Ashley Lopez]" c="Ashley Lopez"/>
              <i n="[Employees_salary].[Name].&amp;[Ashley Patrick]" c="Ashley Patrick"/>
              <i n="[Employees_salary].[Name].&amp;[Ashley Petty]" c="Ashley Petty"/>
              <i n="[Employees_salary].[Name].&amp;[Barbara Herring]" c="Barbara Herring"/>
              <i n="[Employees_salary].[Name].&amp;[Beth Murphy]" c="Beth Murphy"/>
              <i n="[Employees_salary].[Name].&amp;[Beth Odom]" c="Beth Odom"/>
              <i n="[Employees_salary].[Name].&amp;[Blake Moore]" c="Blake Moore"/>
              <i n="[Employees_salary].[Name].&amp;[Brandi Powell]" c="Brandi Powell"/>
              <i n="[Employees_salary].[Name].&amp;[Brenda Ferguson]" c="Brenda Ferguson"/>
              <i n="[Employees_salary].[Name].&amp;[Brenda Martinez]" c="Brenda Martinez"/>
              <i n="[Employees_salary].[Name].&amp;[Brenda Ochoa]" c="Brenda Ochoa"/>
              <i n="[Employees_salary].[Name].&amp;[Brenda Ross]" c="Brenda Ross"/>
              <i n="[Employees_salary].[Name].&amp;[Brian Franco]" c="Brian Franco"/>
              <i n="[Employees_salary].[Name].&amp;[Brian Kelley]" c="Brian Kelley"/>
              <i n="[Employees_salary].[Name].&amp;[Brian Sanders]" c="Brian Sanders"/>
              <i n="[Employees_salary].[Name].&amp;[Brian Spencer]" c="Brian Spencer"/>
              <i n="[Employees_salary].[Name].&amp;[Brian Thompson]" c="Brian Thompson"/>
              <i n="[Employees_salary].[Name].&amp;[Briana Miller MD]" c="Briana Miller MD"/>
              <i n="[Employees_salary].[Name].&amp;[Brittany Buckley]" c="Brittany Buckley"/>
              <i n="[Employees_salary].[Name].&amp;[Brooke Gonzalez]" c="Brooke Gonzalez"/>
              <i n="[Employees_salary].[Name].&amp;[Bryan Garner]" c="Bryan Garner"/>
              <i n="[Employees_salary].[Name].&amp;[Cameron Hoover]" c="Cameron Hoover"/>
              <i n="[Employees_salary].[Name].&amp;[Cameron Roberts]" c="Cameron Roberts"/>
              <i n="[Employees_salary].[Name].&amp;[Candice Padilla]" c="Candice Padilla"/>
              <i n="[Employees_salary].[Name].&amp;[Carl Carson]" c="Carl Carson"/>
              <i n="[Employees_salary].[Name].&amp;[Carla Allen]" c="Carla Allen"/>
              <i n="[Employees_salary].[Name].&amp;[Carla Burke]" c="Carla Burke"/>
              <i n="[Employees_salary].[Name].&amp;[Carla Chan]" c="Carla Chan"/>
              <i n="[Employees_salary].[Name].&amp;[Carlos Kane]" c="Carlos Kane"/>
              <i n="[Employees_salary].[Name].&amp;[Carmen Edwards]" c="Carmen Edwards"/>
              <i n="[Employees_salary].[Name].&amp;[Carolyn Hansen]" c="Carolyn Hansen"/>
              <i n="[Employees_salary].[Name].&amp;[Casey Roberts]" c="Casey Roberts"/>
              <i n="[Employees_salary].[Name].&amp;[Cassandra Sanford]" c="Cassandra Sanford"/>
              <i n="[Employees_salary].[Name].&amp;[Cassidy Peters]" c="Cassidy Peters"/>
              <i n="[Employees_salary].[Name].&amp;[Cassie Morgan]" c="Cassie Morgan"/>
              <i n="[Employees_salary].[Name].&amp;[Catherine Austin]" c="Catherine Austin"/>
              <i n="[Employees_salary].[Name].&amp;[Charles Gutierrez]" c="Charles Gutierrez"/>
              <i n="[Employees_salary].[Name].&amp;[Charles Hernandez]" c="Charles Hernandez"/>
              <i n="[Employees_salary].[Name].&amp;[Charles Smith]" c="Charles Smith"/>
              <i n="[Employees_salary].[Name].&amp;[Chelsea Hernandez]" c="Chelsea Hernandez"/>
              <i n="[Employees_salary].[Name].&amp;[Chelsea Rodriguez]" c="Chelsea Rodriguez"/>
              <i n="[Employees_salary].[Name].&amp;[Chelsea Stephens]" c="Chelsea Stephens"/>
              <i n="[Employees_salary].[Name].&amp;[Cheryl Cummings]" c="Cheryl Cummings"/>
              <i n="[Employees_salary].[Name].&amp;[Cheryl Washington]" c="Cheryl Washington"/>
              <i n="[Employees_salary].[Name].&amp;[Cheyenne Williams]" c="Cheyenne Williams"/>
              <i n="[Employees_salary].[Name].&amp;[Christina Hunt]" c="Christina Hunt"/>
              <i n="[Employees_salary].[Name].&amp;[Christine Brady]" c="Christine Brady"/>
              <i n="[Employees_salary].[Name].&amp;[Christine Jones]" c="Christine Jones"/>
              <i n="[Employees_salary].[Name].&amp;[Christine Krause]" c="Christine Krause"/>
              <i n="[Employees_salary].[Name].&amp;[Christopher Bentley]" c="Christopher Bentley"/>
              <i n="[Employees_salary].[Name].&amp;[Christopher Cole]" c="Christopher Cole"/>
              <i n="[Employees_salary].[Name].&amp;[Christopher Foster]" c="Christopher Foster"/>
              <i n="[Employees_salary].[Name].&amp;[Christopher Jones]" c="Christopher Jones"/>
              <i n="[Employees_salary].[Name].&amp;[Christopher Lam]" c="Christopher Lam"/>
              <i n="[Employees_salary].[Name].&amp;[Christopher Mitchell]" c="Christopher Mitchell"/>
              <i n="[Employees_salary].[Name].&amp;[Christopher Orozco]" c="Christopher Orozco"/>
              <i n="[Employees_salary].[Name].&amp;[Christy Matthews]" c="Christy Matthews"/>
              <i n="[Employees_salary].[Name].&amp;[Clayton Reed]" c="Clayton Reed"/>
              <i n="[Employees_salary].[Name].&amp;[Cody Cooper]" c="Cody Cooper"/>
              <i n="[Employees_salary].[Name].&amp;[Cody Williams]" c="Cody Williams"/>
              <i n="[Employees_salary].[Name].&amp;[Connie Camacho]" c="Connie Camacho"/>
              <i n="[Employees_salary].[Name].&amp;[Connie Craig DDS]" c="Connie Craig DDS"/>
              <i n="[Employees_salary].[Name].&amp;[Connie Martin]" c="Connie Martin"/>
              <i n="[Employees_salary].[Name].&amp;[Corey Jackson]" c="Corey Jackson"/>
              <i n="[Employees_salary].[Name].&amp;[Corey Ward]" c="Corey Ward"/>
              <i n="[Employees_salary].[Name].&amp;[Crystal Martin]" c="Crystal Martin"/>
              <i n="[Employees_salary].[Name].&amp;[Curtis Murray]" c="Curtis Murray"/>
              <i n="[Employees_salary].[Name].&amp;[Curtis Walker]" c="Curtis Walker"/>
              <i n="[Employees_salary].[Name].&amp;[Cynthia Brewer]" c="Cynthia Brewer"/>
              <i n="[Employees_salary].[Name].&amp;[Dale Ward]" c="Dale Ward"/>
              <i n="[Employees_salary].[Name].&amp;[Daniel Carter]" c="Daniel Carter"/>
              <i n="[Employees_salary].[Name].&amp;[Daniel Castillo]" c="Daniel Castillo"/>
              <i n="[Employees_salary].[Name].&amp;[Daniel Davidson]" c="Daniel Davidson"/>
              <i n="[Employees_salary].[Name].&amp;[Daniel Elliott]" c="Daniel Elliott"/>
              <i n="[Employees_salary].[Name].&amp;[Daniel Williams]" c="Daniel Williams"/>
              <i n="[Employees_salary].[Name].&amp;[Danielle Christian]" c="Danielle Christian"/>
              <i n="[Employees_salary].[Name].&amp;[Danielle Klein]" c="Danielle Klein"/>
              <i n="[Employees_salary].[Name].&amp;[Danielle Schultz]" c="Danielle Schultz"/>
              <i n="[Employees_salary].[Name].&amp;[Danny Marquez]" c="Danny Marquez"/>
              <i n="[Employees_salary].[Name].&amp;[David Davis]" c="David Davis"/>
              <i n="[Employees_salary].[Name].&amp;[David Jenkins]" c="David Jenkins"/>
              <i n="[Employees_salary].[Name].&amp;[David Porter]" c="David Porter"/>
              <i n="[Employees_salary].[Name].&amp;[David Walton]" c="David Walton"/>
              <i n="[Employees_salary].[Name].&amp;[David Williams]" c="David Williams"/>
              <i n="[Employees_salary].[Name].&amp;[Dean Neal]" c="Dean Neal"/>
              <i n="[Employees_salary].[Name].&amp;[Deanna Atkinson]" c="Deanna Atkinson"/>
              <i n="[Employees_salary].[Name].&amp;[Debbie Robinson]" c="Debbie Robinson"/>
              <i n="[Employees_salary].[Name].&amp;[Debbie Vazquez]" c="Debbie Vazquez"/>
              <i n="[Employees_salary].[Name].&amp;[Deborah Stein]" c="Deborah Stein"/>
              <i n="[Employees_salary].[Name].&amp;[Deborah Williams]" c="Deborah Williams"/>
              <i n="[Employees_salary].[Name].&amp;[Debra Baird]" c="Debra Baird"/>
              <i n="[Employees_salary].[Name].&amp;[Denise Edwards]" c="Denise Edwards"/>
              <i n="[Employees_salary].[Name].&amp;[Denise Santos]" c="Denise Santos"/>
              <i n="[Employees_salary].[Name].&amp;[Derek Jarvis]" c="Derek Jarvis"/>
              <i n="[Employees_salary].[Name].&amp;[Diane Stephenson]" c="Diane Stephenson"/>
              <i n="[Employees_salary].[Name].&amp;[Donald Brown]" c="Donald Brown"/>
              <i n="[Employees_salary].[Name].&amp;[Donald Green]" c="Donald Green"/>
              <i n="[Employees_salary].[Name].&amp;[Donna Barton]" c="Donna Barton"/>
              <i n="[Employees_salary].[Name].&amp;[Douglas Holmes]" c="Douglas Holmes"/>
              <i n="[Employees_salary].[Name].&amp;[Dr. Barbara Bennett]" c="Dr. Barbara Bennett"/>
              <i n="[Employees_salary].[Name].&amp;[Dr. Katrina Jones]" c="Dr. Katrina Jones"/>
              <i n="[Employees_salary].[Name].&amp;[Dr. Lisa Reyes]" c="Dr. Lisa Reyes"/>
              <i n="[Employees_salary].[Name].&amp;[Dr. Miguel Gibson]" c="Dr. Miguel Gibson"/>
              <i n="[Employees_salary].[Name].&amp;[Dr. Tiffany Wells]" c="Dr. Tiffany Wells"/>
              <i n="[Employees_salary].[Name].&amp;[Edward Carpenter]" c="Edward Carpenter"/>
              <i n="[Employees_salary].[Name].&amp;[Edward Ramos]" c="Edward Ramos"/>
              <i n="[Employees_salary].[Name].&amp;[Edward Williams]" c="Edward Williams"/>
              <i n="[Employees_salary].[Name].&amp;[Edwin Silva]" c="Edwin Silva"/>
              <i n="[Employees_salary].[Name].&amp;[Elizabeth Johnson]" c="Elizabeth Johnson"/>
              <i n="[Employees_salary].[Name].&amp;[Elizabeth Lee]" c="Elizabeth Lee"/>
              <i n="[Employees_salary].[Name].&amp;[Elizabeth Smith]" c="Elizabeth Smith"/>
              <i n="[Employees_salary].[Name].&amp;[Elizabeth Swanson]" c="Elizabeth Swanson"/>
              <i n="[Employees_salary].[Name].&amp;[Ellen Stevens]" c="Ellen Stevens"/>
              <i n="[Employees_salary].[Name].&amp;[Emily Kim]" c="Emily Kim"/>
              <i n="[Employees_salary].[Name].&amp;[Emily Perry]" c="Emily Perry"/>
              <i n="[Employees_salary].[Name].&amp;[Emily Thompson]" c="Emily Thompson"/>
              <i n="[Employees_salary].[Name].&amp;[Eric Braun]" c="Eric Braun"/>
              <i n="[Employees_salary].[Name].&amp;[Eric Pratt]" c="Eric Pratt"/>
              <i n="[Employees_salary].[Name].&amp;[Eric Rocha]" c="Eric Rocha"/>
              <i n="[Employees_salary].[Name].&amp;[Eric Tucker]" c="Eric Tucker"/>
              <i n="[Employees_salary].[Name].&amp;[Erica Anderson]" c="Erica Anderson"/>
              <i n="[Employees_salary].[Name].&amp;[Erika Cruz]" c="Erika Cruz"/>
              <i n="[Employees_salary].[Name].&amp;[Erin Farrell]" c="Erin Farrell"/>
              <i n="[Employees_salary].[Name].&amp;[Erin Martin]" c="Erin Martin"/>
              <i n="[Employees_salary].[Name].&amp;[Erin Moore]" c="Erin Moore"/>
              <i n="[Employees_salary].[Name].&amp;[Ethan Brady]" c="Ethan Brady"/>
              <i n="[Employees_salary].[Name].&amp;[Frank Morales]" c="Frank Morales"/>
              <i n="[Employees_salary].[Name].&amp;[Gary Nguyen]" c="Gary Nguyen"/>
              <i n="[Employees_salary].[Name].&amp;[George Thomas]" c="George Thomas"/>
              <i n="[Employees_salary].[Name].&amp;[Glenn Hawkins]" c="Glenn Hawkins"/>
              <i n="[Employees_salary].[Name].&amp;[Grant Morris]" c="Grant Morris"/>
              <i n="[Employees_salary].[Name].&amp;[Gregory Cervantes]" c="Gregory Cervantes"/>
              <i n="[Employees_salary].[Name].&amp;[Gregory Hall]" c="Gregory Hall"/>
              <i n="[Employees_salary].[Name].&amp;[Gregory Hudson]" c="Gregory Hudson"/>
              <i n="[Employees_salary].[Name].&amp;[Gregory Nichols]" c="Gregory Nichols"/>
              <i n="[Employees_salary].[Name].&amp;[Haley Allen]" c="Haley Allen"/>
              <i n="[Employees_salary].[Name].&amp;[Harold Huffman]" c="Harold Huffman"/>
              <i n="[Employees_salary].[Name].&amp;[Heather Flores]" c="Heather Flores"/>
              <i n="[Employees_salary].[Name].&amp;[Heather Lane]" c="Heather Lane"/>
              <i n="[Employees_salary].[Name].&amp;[Heather Morgan]" c="Heather Morgan"/>
              <i n="[Employees_salary].[Name].&amp;[Heidi Butler]" c="Heidi Butler"/>
              <i n="[Employees_salary].[Name].&amp;[Heidi Moore]" c="Heidi Moore"/>
              <i n="[Employees_salary].[Name].&amp;[Heidi Morrow]" c="Heidi Morrow"/>
              <i n="[Employees_salary].[Name].&amp;[Isaiah Ross]" c="Isaiah Ross"/>
              <i n="[Employees_salary].[Name].&amp;[Jack Martin]" c="Jack Martin"/>
              <i n="[Employees_salary].[Name].&amp;[Jack Rivera]" c="Jack Rivera"/>
              <i n="[Employees_salary].[Name].&amp;[Jacob Rivera]" c="Jacob Rivera"/>
              <i n="[Employees_salary].[Name].&amp;[Jacob Smith]" c="Jacob Smith"/>
              <i n="[Employees_salary].[Name].&amp;[Jacqueline Johnson]" c="Jacqueline Johnson"/>
              <i n="[Employees_salary].[Name].&amp;[Jacqueline Park]" c="Jacqueline Park"/>
              <i n="[Employees_salary].[Name].&amp;[Jaime Harrison]" c="Jaime Harrison"/>
              <i n="[Employees_salary].[Name].&amp;[Jake Rojas]" c="Jake Rojas"/>
              <i n="[Employees_salary].[Name].&amp;[James Huff]" c="James Huff"/>
              <i n="[Employees_salary].[Name].&amp;[James Meyer]" c="James Meyer"/>
              <i n="[Employees_salary].[Name].&amp;[James Owens]" c="James Owens"/>
              <i n="[Employees_salary].[Name].&amp;[Jamie Espinoza]" c="Jamie Espinoza"/>
              <i n="[Employees_salary].[Name].&amp;[Jamie Terry]" c="Jamie Terry"/>
              <i n="[Employees_salary].[Name].&amp;[Jared Murray]" c="Jared Murray"/>
              <i n="[Employees_salary].[Name].&amp;[Jared Powers]" c="Jared Powers"/>
              <i n="[Employees_salary].[Name].&amp;[Jasmine Smith]" c="Jasmine Smith"/>
              <i n="[Employees_salary].[Name].&amp;[Jeffery Mclaughlin]" c="Jeffery Mclaughlin"/>
              <i n="[Employees_salary].[Name].&amp;[Jeffery Thornton]" c="Jeffery Thornton"/>
              <i n="[Employees_salary].[Name].&amp;[Jeffrey Gilmore]" c="Jeffrey Gilmore"/>
              <i n="[Employees_salary].[Name].&amp;[Jeffrey Lopez]" c="Jeffrey Lopez"/>
              <i n="[Employees_salary].[Name].&amp;[Jennifer Ballard]" c="Jennifer Ballard"/>
              <i n="[Employees_salary].[Name].&amp;[Jennifer Brown]" c="Jennifer Brown"/>
              <i n="[Employees_salary].[Name].&amp;[Jennifer Miles]" c="Jennifer Miles"/>
              <i n="[Employees_salary].[Name].&amp;[Jennifer Perry]" c="Jennifer Perry"/>
              <i n="[Employees_salary].[Name].&amp;[Jennifer Vargas]" c="Jennifer Vargas"/>
              <i n="[Employees_salary].[Name].&amp;[Jeremiah Bright]" c="Jeremiah Bright"/>
              <i n="[Employees_salary].[Name].&amp;[Jeremiah Garcia]" c="Jeremiah Garcia"/>
              <i n="[Employees_salary].[Name].&amp;[Jeremy Foster]" c="Jeremy Foster"/>
              <i n="[Employees_salary].[Name].&amp;[Jeremy Lyons]" c="Jeremy Lyons"/>
              <i n="[Employees_salary].[Name].&amp;[Jeremy Spears]" c="Jeremy Spears"/>
              <i n="[Employees_salary].[Name].&amp;[Jerome Horton]" c="Jerome Horton"/>
              <i n="[Employees_salary].[Name].&amp;[Jesse King]" c="Jesse King"/>
              <i n="[Employees_salary].[Name].&amp;[Jessica Cooley]" c="Jessica Cooley"/>
              <i n="[Employees_salary].[Name].&amp;[Jessica Daniels]" c="Jessica Daniels"/>
              <i n="[Employees_salary].[Name].&amp;[Jessica Ewing]" c="Jessica Ewing"/>
              <i n="[Employees_salary].[Name].&amp;[Jessica Hall]" c="Jessica Hall"/>
              <i n="[Employees_salary].[Name].&amp;[Jessica Wright]" c="Jessica Wright"/>
              <i n="[Employees_salary].[Name].&amp;[Jillian Perry]" c="Jillian Perry"/>
              <i n="[Employees_salary].[Name].&amp;[Jim Kelley]" c="Jim Kelley"/>
              <i n="[Employees_salary].[Name].&amp;[Jimmy Allen]" c="Jimmy Allen"/>
              <i n="[Employees_salary].[Name].&amp;[Joann Houston]" c="Joann Houston"/>
              <i n="[Employees_salary].[Name].&amp;[Joanna Anderson]" c="Joanna Anderson"/>
              <i n="[Employees_salary].[Name].&amp;[Joe Holden]" c="Joe Holden"/>
              <i n="[Employees_salary].[Name].&amp;[Joe Stephens]" c="Joe Stephens"/>
              <i n="[Employees_salary].[Name].&amp;[John Brooks]" c="John Brooks"/>
              <i n="[Employees_salary].[Name].&amp;[John Brown]" c="John Brown"/>
              <i n="[Employees_salary].[Name].&amp;[John Curry]" c="John Curry"/>
              <i n="[Employees_salary].[Name].&amp;[John Montgomery]" c="John Montgomery"/>
              <i n="[Employees_salary].[Name].&amp;[John Odom]" c="John Odom"/>
              <i n="[Employees_salary].[Name].&amp;[John Ramirez]" c="John Ramirez"/>
              <i n="[Employees_salary].[Name].&amp;[Johnny Lopez]" c="Johnny Lopez"/>
              <i n="[Employees_salary].[Name].&amp;[Johnny Wilson]" c="Johnny Wilson"/>
              <i n="[Employees_salary].[Name].&amp;[Jon Woodard]" c="Jon Woodard"/>
              <i n="[Employees_salary].[Name].&amp;[Jonathan Estrada]" c="Jonathan Estrada"/>
              <i n="[Employees_salary].[Name].&amp;[Jonathan Floyd]" c="Jonathan Floyd"/>
              <i n="[Employees_salary].[Name].&amp;[Jordan George]" c="Jordan George"/>
              <i n="[Employees_salary].[Name].&amp;[Joseph Brock]" c="Joseph Brock"/>
              <i n="[Employees_salary].[Name].&amp;[Joseph Clarke]" c="Joseph Clarke"/>
              <i n="[Employees_salary].[Name].&amp;[Joseph Gomez]" c="Joseph Gomez"/>
              <i n="[Employees_salary].[Name].&amp;[Joseph James]" c="Joseph James"/>
              <i n="[Employees_salary].[Name].&amp;[Joseph Lane]" c="Joseph Lane"/>
              <i n="[Employees_salary].[Name].&amp;[Joseph Ramirez]" c="Joseph Ramirez"/>
              <i n="[Employees_salary].[Name].&amp;[Joseph Stephens]" c="Joseph Stephens"/>
              <i n="[Employees_salary].[Name].&amp;[Joshua Downs]" c="Joshua Downs"/>
              <i n="[Employees_salary].[Name].&amp;[Joshua Gonzales]" c="Joshua Gonzales"/>
              <i n="[Employees_salary].[Name].&amp;[Joshua West]" c="Joshua West"/>
              <i n="[Employees_salary].[Name].&amp;[Joshua Wright]" c="Joshua Wright"/>
              <i n="[Employees_salary].[Name].&amp;[Juan Baker]" c="Juan Baker"/>
              <i n="[Employees_salary].[Name].&amp;[Julia Holmes]" c="Julia Holmes"/>
              <i n="[Employees_salary].[Name].&amp;[Julie Flores]" c="Julie Flores"/>
              <i n="[Employees_salary].[Name].&amp;[Julie Wong]" c="Julie Wong"/>
              <i n="[Employees_salary].[Name].&amp;[Justin Howell]" c="Justin Howell"/>
              <i n="[Employees_salary].[Name].&amp;[Justin Silva]" c="Justin Silva"/>
              <i n="[Employees_salary].[Name].&amp;[Kaitlyn Washington]" c="Kaitlyn Washington"/>
              <i n="[Employees_salary].[Name].&amp;[Kara Krause]" c="Kara Krause"/>
              <i n="[Employees_salary].[Name].&amp;[Karen Kennedy]" c="Karen Kennedy"/>
              <i n="[Employees_salary].[Name].&amp;[Karen Townsend]" c="Karen Townsend"/>
              <i n="[Employees_salary].[Name].&amp;[Katherine Rodriguez]" c="Katherine Rodriguez"/>
              <i n="[Employees_salary].[Name].&amp;[Kathleen Stone]" c="Kathleen Stone"/>
              <i n="[Employees_salary].[Name].&amp;[Kathryn Davis]" c="Kathryn Davis"/>
              <i n="[Employees_salary].[Name].&amp;[Katie Evans]" c="Katie Evans"/>
              <i n="[Employees_salary].[Name].&amp;[Kayla Brooks]" c="Kayla Brooks"/>
              <i n="[Employees_salary].[Name].&amp;[Keith Hartman]" c="Keith Hartman"/>
              <i n="[Employees_salary].[Name].&amp;[Keith Juarez]" c="Keith Juarez"/>
              <i n="[Employees_salary].[Name].&amp;[Keith Salas]" c="Keith Salas"/>
              <i n="[Employees_salary].[Name].&amp;[Kelli Solis]" c="Kelli Solis"/>
              <i n="[Employees_salary].[Name].&amp;[Kellie Kelley]" c="Kellie Kelley"/>
              <i n="[Employees_salary].[Name].&amp;[Kelly Lee]" c="Kelly Lee"/>
              <i n="[Employees_salary].[Name].&amp;[Kelsey Beck]" c="Kelsey Beck"/>
              <i n="[Employees_salary].[Name].&amp;[Kent Arias]" c="Kent Arias"/>
              <i n="[Employees_salary].[Name].&amp;[Kevin Ferguson]" c="Kevin Ferguson"/>
              <i n="[Employees_salary].[Name].&amp;[Kevin Fitzgerald]" c="Kevin Fitzgerald"/>
              <i n="[Employees_salary].[Name].&amp;[Kevin Hughes]" c="Kevin Hughes"/>
              <i n="[Employees_salary].[Name].&amp;[Kimberly Gay]" c="Kimberly Gay"/>
              <i n="[Employees_salary].[Name].&amp;[Kimberly Hernandez]" c="Kimberly Hernandez"/>
              <i n="[Employees_salary].[Name].&amp;[Kimberly Johnson]" c="Kimberly Johnson"/>
              <i n="[Employees_salary].[Name].&amp;[Kimberly Lynn]" c="Kimberly Lynn"/>
              <i n="[Employees_salary].[Name].&amp;[Kimberly Matthews]" c="Kimberly Matthews"/>
              <i n="[Employees_salary].[Name].&amp;[Kimberly Turner]" c="Kimberly Turner"/>
              <i n="[Employees_salary].[Name].&amp;[Kristin Miller]" c="Kristin Miller"/>
              <i n="[Employees_salary].[Name].&amp;[Kristin Mills]" c="Kristin Mills"/>
              <i n="[Employees_salary].[Name].&amp;[Kyle Sanchez]" c="Kyle Sanchez"/>
              <i n="[Employees_salary].[Name].&amp;[Kyle Soto]" c="Kyle Soto"/>
              <i n="[Employees_salary].[Name].&amp;[Latoya Buckley]" c="Latoya Buckley"/>
              <i n="[Employees_salary].[Name].&amp;[Laura Carson]" c="Laura Carson"/>
              <i n="[Employees_salary].[Name].&amp;[Laura Marshall]" c="Laura Marshall"/>
              <i n="[Employees_salary].[Name].&amp;[Laura Ritter]" c="Laura Ritter"/>
              <i n="[Employees_salary].[Name].&amp;[Laura Robinson]" c="Laura Robinson"/>
              <i n="[Employees_salary].[Name].&amp;[Lauren Gonzalez]" c="Lauren Gonzalez"/>
              <i n="[Employees_salary].[Name].&amp;[Leah Ayala]" c="Leah Ayala"/>
              <i n="[Employees_salary].[Name].&amp;[Leslie Burke]" c="Leslie Burke"/>
              <i n="[Employees_salary].[Name].&amp;[Linda Anderson]" c="Linda Anderson"/>
              <i n="[Employees_salary].[Name].&amp;[Linda Johnson]" c="Linda Johnson"/>
              <i n="[Employees_salary].[Name].&amp;[Lisa Clark]" c="Lisa Clark"/>
              <i n="[Employees_salary].[Name].&amp;[Lisa Gutierrez]" c="Lisa Gutierrez"/>
              <i n="[Employees_salary].[Name].&amp;[Lisa Hampton]" c="Lisa Hampton"/>
              <i n="[Employees_salary].[Name].&amp;[Lisa Holmes]" c="Lisa Holmes"/>
              <i n="[Employees_salary].[Name].&amp;[Lisa King]" c="Lisa King"/>
              <i n="[Employees_salary].[Name].&amp;[Lisa Moore]" c="Lisa Moore"/>
              <i n="[Employees_salary].[Name].&amp;[Lisa Odonnell]" c="Lisa Odonnell"/>
              <i n="[Employees_salary].[Name].&amp;[Lori King]" c="Lori King"/>
              <i n="[Employees_salary].[Name].&amp;[Lori Lindsey]" c="Lori Lindsey"/>
              <i n="[Employees_salary].[Name].&amp;[Lori Melton]" c="Lori Melton"/>
              <i n="[Employees_salary].[Name].&amp;[Lori Mitchell]" c="Lori Mitchell"/>
              <i n="[Employees_salary].[Name].&amp;[Luke Barnes]" c="Luke Barnes"/>
              <i n="[Employees_salary].[Name].&amp;[Luke Powell]" c="Luke Powell"/>
              <i n="[Employees_salary].[Name].&amp;[Lynn Tucker]" c="Lynn Tucker"/>
              <i n="[Employees_salary].[Name].&amp;[Manuel Nelson]" c="Manuel Nelson"/>
              <i n="[Employees_salary].[Name].&amp;[Marc Nunez]" c="Marc Nunez"/>
              <i n="[Employees_salary].[Name].&amp;[Marcus Sullivan]" c="Marcus Sullivan"/>
              <i n="[Employees_salary].[Name].&amp;[Margaret Campbell]" c="Margaret Campbell"/>
              <i n="[Employees_salary].[Name].&amp;[Maria Hernandez]" c="Maria Hernandez"/>
              <i n="[Employees_salary].[Name].&amp;[Mark Gentry]" c="Mark Gentry"/>
              <i n="[Employees_salary].[Name].&amp;[Mark Miller]" c="Mark Miller"/>
              <i n="[Employees_salary].[Name].&amp;[Martha Pena]" c="Martha Pena"/>
              <i n="[Employees_salary].[Name].&amp;[Martin Davis]" c="Martin Davis"/>
              <i n="[Employees_salary].[Name].&amp;[Marvin Hall]" c="Marvin Hall"/>
              <i n="[Employees_salary].[Name].&amp;[Mary Brown]" c="Mary Brown"/>
              <i n="[Employees_salary].[Name].&amp;[Mary Cohen]" c="Mary Cohen"/>
              <i n="[Employees_salary].[Name].&amp;[Mary Estes]" c="Mary Estes"/>
              <i n="[Employees_salary].[Name].&amp;[Matthew Barrett]" c="Matthew Barrett"/>
              <i n="[Employees_salary].[Name].&amp;[Matthew Brown]" c="Matthew Brown"/>
              <i n="[Employees_salary].[Name].&amp;[Matthew Higgins]" c="Matthew Higgins"/>
              <i n="[Employees_salary].[Name].&amp;[Matthew Oneal]" c="Matthew Oneal"/>
              <i n="[Employees_salary].[Name].&amp;[Matthew Sharp]" c="Matthew Sharp"/>
              <i n="[Employees_salary].[Name].&amp;[Matthew Stout]" c="Matthew Stout"/>
              <i n="[Employees_salary].[Name].&amp;[Matthew Walters]" c="Matthew Walters"/>
              <i n="[Employees_salary].[Name].&amp;[Mckenzie Murphy]" c="Mckenzie Murphy"/>
              <i n="[Employees_salary].[Name].&amp;[Megan Carroll]" c="Megan Carroll"/>
              <i n="[Employees_salary].[Name].&amp;[Megan Roach]" c="Megan Roach"/>
              <i n="[Employees_salary].[Name].&amp;[Megan Tucker]" c="Megan Tucker"/>
              <i n="[Employees_salary].[Name].&amp;[Melanie Bell]" c="Melanie Bell"/>
              <i n="[Employees_salary].[Name].&amp;[Melanie Williams]" c="Melanie Williams"/>
              <i n="[Employees_salary].[Name].&amp;[Melissa Edwards]" c="Melissa Edwards"/>
              <i n="[Employees_salary].[Name].&amp;[Melissa Johnson]" c="Melissa Johnson"/>
              <i n="[Employees_salary].[Name].&amp;[Melissa Wilson]" c="Melissa Wilson"/>
              <i n="[Employees_salary].[Name].&amp;[Michael Bryant]" c="Michael Bryant"/>
              <i n="[Employees_salary].[Name].&amp;[Michael Dickerson]" c="Michael Dickerson"/>
              <i n="[Employees_salary].[Name].&amp;[Michael Harper]" c="Michael Harper"/>
              <i n="[Employees_salary].[Name].&amp;[Michael King]" c="Michael King"/>
              <i n="[Employees_salary].[Name].&amp;[Michael Kramer]" c="Michael Kramer"/>
              <i n="[Employees_salary].[Name].&amp;[Michael Logan]" c="Michael Logan"/>
              <i n="[Employees_salary].[Name].&amp;[Michael Lyons]" c="Michael Lyons"/>
              <i n="[Employees_salary].[Name].&amp;[Michael Martinez]" c="Michael Martinez"/>
              <i n="[Employees_salary].[Name].&amp;[Michael Roach]" c="Michael Roach"/>
              <i n="[Employees_salary].[Name].&amp;[Michael Rodriguez]" c="Michael Rodriguez"/>
              <i n="[Employees_salary].[Name].&amp;[Michael Sampson]" c="Michael Sampson"/>
              <i n="[Employees_salary].[Name].&amp;[Michael Smith]" c="Michael Smith"/>
              <i n="[Employees_salary].[Name].&amp;[Michael Thomas]" c="Michael Thomas"/>
              <i n="[Employees_salary].[Name].&amp;[Michael Wells]" c="Michael Wells"/>
              <i n="[Employees_salary].[Name].&amp;[Michele Freeman]" c="Michele Freeman"/>
              <i n="[Employees_salary].[Name].&amp;[Michele Welch]" c="Michele Welch"/>
              <i n="[Employees_salary].[Name].&amp;[Michelle Brennan]" c="Michelle Brennan"/>
              <i n="[Employees_salary].[Name].&amp;[Michelle Fuller]" c="Michelle Fuller"/>
              <i n="[Employees_salary].[Name].&amp;[Michelle Turner]" c="Michelle Turner"/>
              <i n="[Employees_salary].[Name].&amp;[Miguel Davis]" c="Miguel Davis"/>
              <i n="[Employees_salary].[Name].&amp;[Miguel Flores]" c="Miguel Flores"/>
              <i n="[Employees_salary].[Name].&amp;[Mindy Liu]" c="Mindy Liu"/>
              <i n="[Employees_salary].[Name].&amp;[Miss Cynthia Morton]" c="Miss Cynthia Morton"/>
              <i n="[Employees_salary].[Name].&amp;[Miss Olivia Barr]" c="Miss Olivia Barr"/>
              <i n="[Employees_salary].[Name].&amp;[Mitchell Richards]" c="Mitchell Richards"/>
              <i n="[Employees_salary].[Name].&amp;[Molly Levy]" c="Molly Levy"/>
              <i n="[Employees_salary].[Name].&amp;[Mr. Charles Morgan]" c="Mr. Charles Morgan"/>
              <i n="[Employees_salary].[Name].&amp;[Mr. Thomas Adams]" c="Mr. Thomas Adams"/>
              <i n="[Employees_salary].[Name].&amp;[Mr. Tyler Gonzalez]" c="Mr. Tyler Gonzalez"/>
              <i n="[Employees_salary].[Name].&amp;[Mrs. Beth Suarez]" c="Mrs. Beth Suarez"/>
              <i n="[Employees_salary].[Name].&amp;[Mrs. Julia Howard MD]" c="Mrs. Julia Howard MD"/>
              <i n="[Employees_salary].[Name].&amp;[Natalie Rich]" c="Natalie Rich"/>
              <i n="[Employees_salary].[Name].&amp;[Natasha Cervantes]" c="Natasha Cervantes"/>
              <i n="[Employees_salary].[Name].&amp;[Nicholas Jones]" c="Nicholas Jones"/>
              <i n="[Employees_salary].[Name].&amp;[Nichole Newton]" c="Nichole Newton"/>
              <i n="[Employees_salary].[Name].&amp;[Nicole Ellis]" c="Nicole Ellis"/>
              <i n="[Employees_salary].[Name].&amp;[Nicole Peck]" c="Nicole Peck"/>
              <i n="[Employees_salary].[Name].&amp;[Norman Hopkins]" c="Norman Hopkins"/>
              <i n="[Employees_salary].[Name].&amp;[Olivia Walker]" c="Olivia Walker"/>
              <i n="[Employees_salary].[Name].&amp;[Omar Jones]" c="Omar Jones"/>
              <i n="[Employees_salary].[Name].&amp;[Pamela Graves]" c="Pamela Graves"/>
              <i n="[Employees_salary].[Name].&amp;[Paul Ellis]" c="Paul Ellis"/>
              <i n="[Employees_salary].[Name].&amp;[Paul Juarez]" c="Paul Juarez"/>
              <i n="[Employees_salary].[Name].&amp;[Paul Tyler]" c="Paul Tyler"/>
              <i n="[Employees_salary].[Name].&amp;[Paul Wright]" c="Paul Wright"/>
              <i n="[Employees_salary].[Name].&amp;[Paul Yoder]" c="Paul Yoder"/>
              <i n="[Employees_salary].[Name].&amp;[Paula Lam]" c="Paula Lam"/>
              <i n="[Employees_salary].[Name].&amp;[Peter Garcia]" c="Peter Garcia"/>
              <i n="[Employees_salary].[Name].&amp;[Philip Day]" c="Philip Day"/>
              <i n="[Employees_salary].[Name].&amp;[Phillip Ellis]" c="Phillip Ellis"/>
              <i n="[Employees_salary].[Name].&amp;[Phillip Gregory]" c="Phillip Gregory"/>
              <i n="[Employees_salary].[Name].&amp;[Rachel Pearson]" c="Rachel Pearson"/>
              <i n="[Employees_salary].[Name].&amp;[Rachel Torres]" c="Rachel Torres"/>
              <i n="[Employees_salary].[Name].&amp;[Rachel Wilson]" c="Rachel Wilson"/>
              <i n="[Employees_salary].[Name].&amp;[Rachel Yates]" c="Rachel Yates"/>
              <i n="[Employees_salary].[Name].&amp;[Raymond Wilkinson]" c="Raymond Wilkinson"/>
              <i n="[Employees_salary].[Name].&amp;[Rebekah Miranda]" c="Rebekah Miranda"/>
              <i n="[Employees_salary].[Name].&amp;[Rhonda Bates]" c="Rhonda Bates"/>
              <i n="[Employees_salary].[Name].&amp;[Richard Dixon]" c="Richard Dixon"/>
              <i n="[Employees_salary].[Name].&amp;[Richard Guzman]" c="Richard Guzman"/>
              <i n="[Employees_salary].[Name].&amp;[Richard Ortiz]" c="Richard Ortiz"/>
              <i n="[Employees_salary].[Name].&amp;[Robert Cole]" c="Robert Cole"/>
              <i n="[Employees_salary].[Name].&amp;[Robert Hall DDS]" c="Robert Hall DDS"/>
              <i n="[Employees_salary].[Name].&amp;[Robert Jones]" c="Robert Jones"/>
              <i n="[Employees_salary].[Name].&amp;[Robert Nelson]" c="Robert Nelson"/>
              <i n="[Employees_salary].[Name].&amp;[Robert Pham]" c="Robert Pham"/>
              <i n="[Employees_salary].[Name].&amp;[Robert Powell]" c="Robert Powell"/>
              <i n="[Employees_salary].[Name].&amp;[Robert Smith]" c="Robert Smith"/>
              <i n="[Employees_salary].[Name].&amp;[Roberto Griffin]" c="Roberto Griffin"/>
              <i n="[Employees_salary].[Name].&amp;[Roberto Smith]" c="Roberto Smith"/>
              <i n="[Employees_salary].[Name].&amp;[Robin Fowler]" c="Robin Fowler"/>
              <i n="[Employees_salary].[Name].&amp;[Robin Page]" c="Robin Page"/>
              <i n="[Employees_salary].[Name].&amp;[Robin Warren]" c="Robin Warren"/>
              <i n="[Employees_salary].[Name].&amp;[Roger Elliott]" c="Roger Elliott"/>
              <i n="[Employees_salary].[Name].&amp;[Roy Martin]" c="Roy Martin"/>
              <i n="[Employees_salary].[Name].&amp;[Ryan Clay]" c="Ryan Clay"/>
              <i n="[Employees_salary].[Name].&amp;[Ryan Kelly]" c="Ryan Kelly"/>
              <i n="[Employees_salary].[Name].&amp;[Ryan Rose]" c="Ryan Rose"/>
              <i n="[Employees_salary].[Name].&amp;[Ryan White]" c="Ryan White"/>
              <i n="[Employees_salary].[Name].&amp;[Ryan Zhang]" c="Ryan Zhang"/>
              <i n="[Employees_salary].[Name].&amp;[Samantha Mcmahon]" c="Samantha Mcmahon"/>
              <i n="[Employees_salary].[Name].&amp;[Samantha Navarro]" c="Samantha Navarro"/>
              <i n="[Employees_salary].[Name].&amp;[Samantha Walsh]" c="Samantha Walsh"/>
              <i n="[Employees_salary].[Name].&amp;[Samantha Young]" c="Samantha Young"/>
              <i n="[Employees_salary].[Name].&amp;[Sarah Carpenter]" c="Sarah Carpenter"/>
              <i n="[Employees_salary].[Name].&amp;[Sarah Miller]" c="Sarah Miller"/>
              <i n="[Employees_salary].[Name].&amp;[Sarah Thompson MD]" c="Sarah Thompson MD"/>
              <i n="[Employees_salary].[Name].&amp;[Savannah Johnson]" c="Savannah Johnson"/>
              <i n="[Employees_salary].[Name].&amp;[Scott Jones]" c="Scott Jones"/>
              <i n="[Employees_salary].[Name].&amp;[Scott Larson]" c="Scott Larson"/>
              <i n="[Employees_salary].[Name].&amp;[Sean Wilson]" c="Sean Wilson"/>
              <i n="[Employees_salary].[Name].&amp;[Selena Bennett]" c="Selena Bennett"/>
              <i n="[Employees_salary].[Name].&amp;[Seth Pearson]" c="Seth Pearson"/>
              <i n="[Employees_salary].[Name].&amp;[Shane Curtis]" c="Shane Curtis"/>
              <i n="[Employees_salary].[Name].&amp;[Shane Hart]" c="Shane Hart"/>
              <i n="[Employees_salary].[Name].&amp;[Shannon Huber]" c="Shannon Huber"/>
              <i n="[Employees_salary].[Name].&amp;[Shannon Kennedy]" c="Shannon Kennedy"/>
              <i n="[Employees_salary].[Name].&amp;[Sharon Huynh]" c="Sharon Huynh"/>
              <i n="[Employees_salary].[Name].&amp;[Shaun Garrett]" c="Shaun Garrett"/>
              <i n="[Employees_salary].[Name].&amp;[Shawn Hill]" c="Shawn Hill"/>
              <i n="[Employees_salary].[Name].&amp;[Sheila Edwards]" c="Sheila Edwards"/>
              <i n="[Employees_salary].[Name].&amp;[Shelby Chan]" c="Shelby Chan"/>
              <i n="[Employees_salary].[Name].&amp;[Sheryl Martin]" c="Sheryl Martin"/>
              <i n="[Employees_salary].[Name].&amp;[Spencer Gonzales]" c="Spencer Gonzales"/>
              <i n="[Employees_salary].[Name].&amp;[Stanley Ewing]" c="Stanley Ewing"/>
              <i n="[Employees_salary].[Name].&amp;[Stephanie Adams]" c="Stephanie Adams"/>
              <i n="[Employees_salary].[Name].&amp;[Stephanie Campos]" c="Stephanie Campos"/>
              <i n="[Employees_salary].[Name].&amp;[Stephanie Glenn]" c="Stephanie Glenn"/>
              <i n="[Employees_salary].[Name].&amp;[Stephanie Horton]" c="Stephanie Horton"/>
              <i n="[Employees_salary].[Name].&amp;[Stephanie Lee]" c="Stephanie Lee"/>
              <i n="[Employees_salary].[Name].&amp;[Stephanie Middleton]" c="Stephanie Middleton"/>
              <i n="[Employees_salary].[Name].&amp;[Stephanie Powell]" c="Stephanie Powell"/>
              <i n="[Employees_salary].[Name].&amp;[Stephanie Washington]" c="Stephanie Washington"/>
              <i n="[Employees_salary].[Name].&amp;[Stephen Brown]" c="Stephen Brown"/>
              <i n="[Employees_salary].[Name].&amp;[Stephen Palmer]" c="Stephen Palmer"/>
              <i n="[Employees_salary].[Name].&amp;[Stephen Zimmerman]" c="Stephen Zimmerman"/>
              <i n="[Employees_salary].[Name].&amp;[Steve Sanford]" c="Steve Sanford"/>
              <i n="[Employees_salary].[Name].&amp;[Steven English]" c="Steven English"/>
              <i n="[Employees_salary].[Name].&amp;[Steven Hinton]" c="Steven Hinton"/>
              <i n="[Employees_salary].[Name].&amp;[Steven Perez]" c="Steven Perez"/>
              <i n="[Employees_salary].[Name].&amp;[Steven Shepherd]" c="Steven Shepherd"/>
              <i n="[Employees_salary].[Name].&amp;[Susan Jackson]" c="Susan Jackson"/>
              <i n="[Employees_salary].[Name].&amp;[Susan Parker]" c="Susan Parker"/>
              <i n="[Employees_salary].[Name].&amp;[Susan Parker MD]" c="Susan Parker MD"/>
              <i n="[Employees_salary].[Name].&amp;[Susan Underwood]" c="Susan Underwood"/>
              <i n="[Employees_salary].[Name].&amp;[Susan Wong]" c="Susan Wong"/>
              <i n="[Employees_salary].[Name].&amp;[Suzanne Alvarado]" c="Suzanne Alvarado"/>
              <i n="[Employees_salary].[Name].&amp;[Sydney Rodriguez]" c="Sydney Rodriguez"/>
              <i n="[Employees_salary].[Name].&amp;[Tamara Callahan]" c="Tamara Callahan"/>
              <i n="[Employees_salary].[Name].&amp;[Tami Blake]" c="Tami Blake"/>
              <i n="[Employees_salary].[Name].&amp;[Tammy Terry]" c="Tammy Terry"/>
              <i n="[Employees_salary].[Name].&amp;[Taylor Fowler]" c="Taylor Fowler"/>
              <i n="[Employees_salary].[Name].&amp;[Teresa Carroll]" c="Teresa Carroll"/>
              <i n="[Employees_salary].[Name].&amp;[Terri Harris]" c="Terri Harris"/>
              <i n="[Employees_salary].[Name].&amp;[Terry Hughes]" c="Terry Hughes"/>
              <i n="[Employees_salary].[Name].&amp;[Thomas Fields]" c="Thomas Fields"/>
              <i n="[Employees_salary].[Name].&amp;[Thomas Long]" c="Thomas Long"/>
              <i n="[Employees_salary].[Name].&amp;[Thomas Matthews]" c="Thomas Matthews"/>
              <i n="[Employees_salary].[Name].&amp;[Tiffany Cox]" c="Tiffany Cox"/>
              <i n="[Employees_salary].[Name].&amp;[Tiffany Wilson]" c="Tiffany Wilson"/>
              <i n="[Employees_salary].[Name].&amp;[Timothy Gonzalez]" c="Timothy Gonzalez"/>
              <i n="[Employees_salary].[Name].&amp;[Todd Mclean]" c="Todd Mclean"/>
              <i n="[Employees_salary].[Name].&amp;[Tonya Brown]" c="Tonya Brown"/>
              <i n="[Employees_salary].[Name].&amp;[Tonya Rivera]" c="Tonya Rivera"/>
              <i n="[Employees_salary].[Name].&amp;[Tracey Rodriguez]" c="Tracey Rodriguez"/>
              <i n="[Employees_salary].[Name].&amp;[Tracy Gallegos]" c="Tracy Gallegos"/>
              <i n="[Employees_salary].[Name].&amp;[Tracy Matthews]" c="Tracy Matthews"/>
              <i n="[Employees_salary].[Name].&amp;[Tracy Nichols]" c="Tracy Nichols"/>
              <i n="[Employees_salary].[Name].&amp;[Tracy Valencia]" c="Tracy Valencia"/>
              <i n="[Employees_salary].[Name].&amp;[Tyrone Adkins]" c="Tyrone Adkins"/>
              <i n="[Employees_salary].[Name].&amp;[Valerie Oliver]" c="Valerie Oliver"/>
              <i n="[Employees_salary].[Name].&amp;[Veronica Barnes]" c="Veronica Barnes"/>
              <i n="[Employees_salary].[Name].&amp;[Veronica Morton]" c="Veronica Morton"/>
              <i n="[Employees_salary].[Name].&amp;[Veronica Wright]" c="Veronica Wright"/>
              <i n="[Employees_salary].[Name].&amp;[Victoria Alvarez]" c="Victoria Alvarez"/>
              <i n="[Employees_salary].[Name].&amp;[Victoria Smith]" c="Victoria Smith"/>
              <i n="[Employees_salary].[Name].&amp;[Vincent Willis]" c="Vincent Willis"/>
              <i n="[Employees_salary].[Name].&amp;[Warren Conway]" c="Warren Conway"/>
              <i n="[Employees_salary].[Name].&amp;[Wendy Lyons]" c="Wendy Lyons"/>
              <i n="[Employees_salary].[Name].&amp;[Wesley Payne]" c="Wesley Payne"/>
              <i n="[Employees_salary].[Name].&amp;[Whitney Jackson]" c="Whitney Jackson"/>
              <i n="[Employees_salary].[Name].&amp;[Whitney Roberts]" c="Whitney Roberts"/>
              <i n="[Employees_salary].[Name].&amp;[William Allen]" c="William Allen"/>
              <i n="[Employees_salary].[Name].&amp;[William Richardson]" c="William Richardson"/>
              <i n="[Employees_salary].[Name].&amp;[Zachary Pitts]" c="Zachary Pitts"/>
              <i n="[Employees_salary].[Name].&amp;[Zachary Smith]" c="Zachary Smith"/>
              <i n="[Employees_salary].[Name].&amp;[Zachary Welch]" c="Zachary Welch"/>
              <i n="[Employees_salary].[Name].&amp;[Zoe Cain]" c="Zoe Cain"/>
            </range>
          </ranges>
        </level>
      </levels>
      <selections count="1">
        <selection n="[Employees_salary].[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E7CFA7-A0FE-48D0-9C2E-C4A553225321}" sourceName="[Employees_salary].[Gender]">
  <pivotTables>
    <pivotTable tabId="4" name="Salary for Dept"/>
    <pivotTable tabId="4" name="Most Top10 of Jops"/>
    <pivotTable tabId="4" name="PivotTable10"/>
    <pivotTable tabId="4" name="Salary For Education"/>
    <pivotTable tabId="4" name="Salary For Location"/>
    <pivotTable tabId="4" name="Total Departments"/>
    <pivotTable tabId="4" name="Total Employees"/>
    <pivotTable tabId="4" name="Total Locations"/>
    <pivotTable tabId="4" name="Total of Jops"/>
    <pivotTable tabId="4" name="Total Salary"/>
  </pivotTables>
  <data>
    <olap pivotCacheId="666242244">
      <levels count="2">
        <level uniqueName="[Employees_salary].[Gender].[(All)]" sourceCaption="(All)" count="0"/>
        <level uniqueName="[Employees_salary].[Gender].[Gender]" sourceCaption="Gender" count="2">
          <ranges>
            <range startItem="0">
              <i n="[Employees_salary].[Gender].&amp;[Female]" c="Female"/>
              <i n="[Employees_salary].[Gender].&amp;[Male]" c="Male"/>
            </range>
          </ranges>
        </level>
      </levels>
      <selections count="1">
        <selection n="[Employees_salary].[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F297EA-655C-462F-9CF7-30F1D24979D6}" cache="Slicer_Department" caption="Department" level="1" style="SlicerStyleDark1" rowHeight="254000"/>
  <slicer name="Job Level" xr10:uid="{7F814F56-8457-4934-B594-224228C9B36A}" cache="Slicer_Job_Level" caption="Job Level" level="1" style="SlicerStyleDark1" rowHeight="254000"/>
  <slicer name="Job Title" xr10:uid="{6AFC2A10-6275-463D-A328-29799E724677}" cache="Slicer_Job_Title" caption="Job Title" startItem="5" level="1" style="SlicerStyleDark1" rowHeight="254000"/>
  <slicer name="Name" xr10:uid="{3BF447FA-9A75-4742-BBDD-051DB5872BB4}" cache="Slicer_Name" caption="Name" level="1" style="SlicerStyleDark1" rowHeight="254000"/>
  <slicer name="Gender" xr10:uid="{0F819CB5-D5C7-4B56-B4EE-FFA7427BED93}" cache="Slicer_Gender" caption="Gender" level="1" style="SlicerStyleDark1"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92CEB3-58D2-4E55-890A-5C00D5F02BD6}" name="Jop_Classification" displayName="Jop_Classification" ref="A1:B22" tableType="queryTable" totalsRowShown="0">
  <autoFilter ref="A1:B22" xr:uid="{0F92CEB3-58D2-4E55-890A-5C00D5F02BD6}"/>
  <tableColumns count="2">
    <tableColumn id="1" xr3:uid="{9F4D04FB-B203-4BBD-845A-68F378E58049}" uniqueName="1" name="Job Title" queryTableFieldId="1" dataDxfId="8"/>
    <tableColumn id="2" xr3:uid="{19D4D2D8-C3D2-45A2-AF21-34B43E2A3BAD}" uniqueName="2" name="Job Level" queryTableFieldId="2"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99A82-04F7-4B6A-9ED4-7D2AEC3E8C1E}" name="Employees_salary" displayName="Employees_salary" ref="A1:J501" tableType="queryTable" totalsRowShown="0">
  <autoFilter ref="A1:J501" xr:uid="{E6399A82-04F7-4B6A-9ED4-7D2AEC3E8C1E}"/>
  <tableColumns count="10">
    <tableColumn id="1" xr3:uid="{70D1D564-152B-4944-BAF2-C71A8C868D25}" uniqueName="1" name="Employee ID" queryTableFieldId="1" dataDxfId="6"/>
    <tableColumn id="2" xr3:uid="{D957BBBD-2DFC-44BA-A675-5F01C9081369}" uniqueName="2" name="Name" queryTableFieldId="2" dataDxfId="5"/>
    <tableColumn id="3" xr3:uid="{17923203-38CA-4644-A15F-0FA02BF1A2EC}" uniqueName="3" name="Department" queryTableFieldId="3" dataDxfId="4"/>
    <tableColumn id="4" xr3:uid="{F3EC066F-8ED5-43E8-BD33-63EFA45BFB3D}" uniqueName="4" name="Job Title" queryTableFieldId="4" dataDxfId="3"/>
    <tableColumn id="5" xr3:uid="{BC8951C9-D631-4E18-B890-CBA98A70B1EA}" uniqueName="5" name="Gender" queryTableFieldId="5" dataDxfId="2"/>
    <tableColumn id="6" xr3:uid="{6B7133C9-EE09-442B-84E1-128947030688}" uniqueName="6" name="Age" queryTableFieldId="6"/>
    <tableColumn id="7" xr3:uid="{A14B9DEC-295C-47FA-AE72-F598028339BD}" uniqueName="7" name="Experience (Years)" queryTableFieldId="7"/>
    <tableColumn id="8" xr3:uid="{B765F7CD-B3B9-4D4A-A685-1E937406E94A}" uniqueName="8" name="Salary" queryTableFieldId="8"/>
    <tableColumn id="9" xr3:uid="{A18018AA-1CA2-490C-BCAD-D2CCBF411146}" uniqueName="9" name="Location" queryTableFieldId="9" dataDxfId="1"/>
    <tableColumn id="10" xr3:uid="{CF9EBD6C-5430-4CEB-BFA0-AB572A7C24A2}" uniqueName="10" name="Education Level"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8E92-8C4A-4324-9408-9DA1E2CC4D33}">
  <dimension ref="A1:B22"/>
  <sheetViews>
    <sheetView workbookViewId="0">
      <selection activeCell="E17" sqref="E17"/>
    </sheetView>
  </sheetViews>
  <sheetFormatPr defaultRowHeight="14.4" x14ac:dyDescent="0.55000000000000004"/>
  <cols>
    <col min="1" max="1" width="17.3125" bestFit="1" customWidth="1"/>
    <col min="2" max="2" width="10.20703125" bestFit="1" customWidth="1"/>
  </cols>
  <sheetData>
    <row r="1" spans="1:2" x14ac:dyDescent="0.55000000000000004">
      <c r="A1" t="s">
        <v>3</v>
      </c>
      <c r="B1" t="s">
        <v>1050</v>
      </c>
    </row>
    <row r="2" spans="1:2" x14ac:dyDescent="0.55000000000000004">
      <c r="A2" t="s">
        <v>13</v>
      </c>
      <c r="B2" t="s">
        <v>1051</v>
      </c>
    </row>
    <row r="3" spans="1:2" x14ac:dyDescent="0.55000000000000004">
      <c r="A3" t="s">
        <v>20</v>
      </c>
      <c r="B3" t="s">
        <v>1052</v>
      </c>
    </row>
    <row r="4" spans="1:2" x14ac:dyDescent="0.55000000000000004">
      <c r="A4" t="s">
        <v>25</v>
      </c>
      <c r="B4" t="s">
        <v>1052</v>
      </c>
    </row>
    <row r="5" spans="1:2" x14ac:dyDescent="0.55000000000000004">
      <c r="A5" t="s">
        <v>28</v>
      </c>
      <c r="B5" t="s">
        <v>1051</v>
      </c>
    </row>
    <row r="6" spans="1:2" x14ac:dyDescent="0.55000000000000004">
      <c r="A6" t="s">
        <v>34</v>
      </c>
      <c r="B6" t="s">
        <v>1051</v>
      </c>
    </row>
    <row r="7" spans="1:2" x14ac:dyDescent="0.55000000000000004">
      <c r="A7" t="s">
        <v>39</v>
      </c>
      <c r="B7" t="s">
        <v>1051</v>
      </c>
    </row>
    <row r="8" spans="1:2" x14ac:dyDescent="0.55000000000000004">
      <c r="A8" t="s">
        <v>44</v>
      </c>
      <c r="B8" t="s">
        <v>1051</v>
      </c>
    </row>
    <row r="9" spans="1:2" x14ac:dyDescent="0.55000000000000004">
      <c r="A9" t="s">
        <v>48</v>
      </c>
      <c r="B9" t="s">
        <v>1051</v>
      </c>
    </row>
    <row r="10" spans="1:2" x14ac:dyDescent="0.55000000000000004">
      <c r="A10" t="s">
        <v>51</v>
      </c>
      <c r="B10" t="s">
        <v>1051</v>
      </c>
    </row>
    <row r="11" spans="1:2" x14ac:dyDescent="0.55000000000000004">
      <c r="A11" t="s">
        <v>56</v>
      </c>
      <c r="B11" t="s">
        <v>1053</v>
      </c>
    </row>
    <row r="12" spans="1:2" x14ac:dyDescent="0.55000000000000004">
      <c r="A12" t="s">
        <v>62</v>
      </c>
      <c r="B12" t="s">
        <v>1051</v>
      </c>
    </row>
    <row r="13" spans="1:2" x14ac:dyDescent="0.55000000000000004">
      <c r="A13" t="s">
        <v>65</v>
      </c>
      <c r="B13" t="s">
        <v>1052</v>
      </c>
    </row>
    <row r="14" spans="1:2" x14ac:dyDescent="0.55000000000000004">
      <c r="A14" t="s">
        <v>68</v>
      </c>
      <c r="B14" t="s">
        <v>1051</v>
      </c>
    </row>
    <row r="15" spans="1:2" x14ac:dyDescent="0.55000000000000004">
      <c r="A15" t="s">
        <v>71</v>
      </c>
      <c r="B15" t="s">
        <v>1053</v>
      </c>
    </row>
    <row r="16" spans="1:2" x14ac:dyDescent="0.55000000000000004">
      <c r="A16" t="s">
        <v>74</v>
      </c>
      <c r="B16" t="s">
        <v>1052</v>
      </c>
    </row>
    <row r="17" spans="1:2" x14ac:dyDescent="0.55000000000000004">
      <c r="A17" t="s">
        <v>77</v>
      </c>
      <c r="B17" t="s">
        <v>1052</v>
      </c>
    </row>
    <row r="18" spans="1:2" x14ac:dyDescent="0.55000000000000004">
      <c r="A18" t="s">
        <v>80</v>
      </c>
      <c r="B18" t="s">
        <v>1052</v>
      </c>
    </row>
    <row r="19" spans="1:2" x14ac:dyDescent="0.55000000000000004">
      <c r="A19" t="s">
        <v>93</v>
      </c>
      <c r="B19" t="s">
        <v>1053</v>
      </c>
    </row>
    <row r="20" spans="1:2" x14ac:dyDescent="0.55000000000000004">
      <c r="A20" t="s">
        <v>120</v>
      </c>
      <c r="B20" t="s">
        <v>1052</v>
      </c>
    </row>
    <row r="21" spans="1:2" x14ac:dyDescent="0.55000000000000004">
      <c r="A21" t="s">
        <v>147</v>
      </c>
      <c r="B21" t="s">
        <v>1052</v>
      </c>
    </row>
    <row r="22" spans="1:2" x14ac:dyDescent="0.55000000000000004">
      <c r="A22" t="s">
        <v>188</v>
      </c>
      <c r="B22" t="s">
        <v>1053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63216-2825-414E-BB05-067E680BF1F9}">
  <dimension ref="A1"/>
  <sheetViews>
    <sheetView showGridLines="0" showRowColHeaders="0" tabSelected="1" workbookViewId="0">
      <selection activeCell="A11" sqref="A11"/>
    </sheetView>
  </sheetViews>
  <sheetFormatPr defaultRowHeight="14.4" x14ac:dyDescent="0.55000000000000004"/>
  <cols>
    <col min="1" max="16384" width="8.839843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7D0C-FED7-4A11-AB06-8EF309E08C28}">
  <dimension ref="A3:O54"/>
  <sheetViews>
    <sheetView zoomScale="120" workbookViewId="0">
      <selection activeCell="A6" sqref="A6"/>
    </sheetView>
  </sheetViews>
  <sheetFormatPr defaultRowHeight="14.4" x14ac:dyDescent="0.55000000000000004"/>
  <cols>
    <col min="1" max="1" width="12.41796875" bestFit="1" customWidth="1"/>
    <col min="5" max="5" width="12" bestFit="1" customWidth="1"/>
    <col min="6" max="6" width="11.05078125" bestFit="1" customWidth="1"/>
    <col min="10" max="10" width="12" bestFit="1" customWidth="1"/>
    <col min="11" max="11" width="11.05078125" bestFit="1" customWidth="1"/>
    <col min="14" max="14" width="14.734375" bestFit="1" customWidth="1"/>
    <col min="15" max="15" width="11.05078125" bestFit="1" customWidth="1"/>
  </cols>
  <sheetData>
    <row r="3" spans="1:15" x14ac:dyDescent="0.55000000000000004">
      <c r="A3" t="s">
        <v>1054</v>
      </c>
      <c r="E3" t="s">
        <v>1062</v>
      </c>
    </row>
    <row r="4" spans="1:15" x14ac:dyDescent="0.55000000000000004">
      <c r="A4" t="s">
        <v>1055</v>
      </c>
      <c r="E4" s="2" t="s">
        <v>1059</v>
      </c>
      <c r="F4" t="s">
        <v>1063</v>
      </c>
      <c r="J4" t="s">
        <v>1065</v>
      </c>
      <c r="N4" t="s">
        <v>1067</v>
      </c>
    </row>
    <row r="5" spans="1:15" x14ac:dyDescent="0.55000000000000004">
      <c r="A5" s="1">
        <v>4962657</v>
      </c>
      <c r="E5" s="3" t="s">
        <v>90</v>
      </c>
      <c r="F5" s="1">
        <v>9730.8533333333326</v>
      </c>
      <c r="J5" s="2" t="s">
        <v>1059</v>
      </c>
      <c r="K5" t="s">
        <v>1063</v>
      </c>
      <c r="N5" s="2" t="s">
        <v>1059</v>
      </c>
      <c r="O5" t="s">
        <v>1063</v>
      </c>
    </row>
    <row r="6" spans="1:15" x14ac:dyDescent="0.55000000000000004">
      <c r="A6" s="6">
        <f>GETPIVOTDATA("[Measures].[Total Salary]",$A$4)</f>
        <v>4962657</v>
      </c>
      <c r="E6" s="3" t="s">
        <v>21</v>
      </c>
      <c r="F6" s="1">
        <v>9926.818181818182</v>
      </c>
      <c r="J6" s="3" t="s">
        <v>22</v>
      </c>
      <c r="K6" s="1">
        <v>9816.6832061068708</v>
      </c>
      <c r="N6" s="3" t="s">
        <v>13</v>
      </c>
      <c r="O6" s="1">
        <v>12049.6</v>
      </c>
    </row>
    <row r="7" spans="1:15" x14ac:dyDescent="0.55000000000000004">
      <c r="E7" s="3" t="s">
        <v>30</v>
      </c>
      <c r="F7" s="1">
        <v>9648.4696969696961</v>
      </c>
      <c r="J7" s="3" t="s">
        <v>40</v>
      </c>
      <c r="K7" s="1">
        <v>9952.0666666666675</v>
      </c>
      <c r="N7" s="3" t="s">
        <v>20</v>
      </c>
      <c r="O7" s="1">
        <v>11926.208333333334</v>
      </c>
    </row>
    <row r="8" spans="1:15" x14ac:dyDescent="0.55000000000000004">
      <c r="E8" s="3" t="s">
        <v>15</v>
      </c>
      <c r="F8" s="1">
        <v>10570.546875</v>
      </c>
      <c r="J8" s="3" t="s">
        <v>36</v>
      </c>
      <c r="K8" s="1">
        <v>10197.954128440368</v>
      </c>
      <c r="N8" s="3" t="s">
        <v>25</v>
      </c>
      <c r="O8" s="1">
        <v>12414.541666666666</v>
      </c>
    </row>
    <row r="9" spans="1:15" x14ac:dyDescent="0.55000000000000004">
      <c r="A9" t="s">
        <v>1056</v>
      </c>
      <c r="E9" s="3" t="s">
        <v>83</v>
      </c>
      <c r="F9" s="1">
        <v>9624.4025974025972</v>
      </c>
      <c r="J9" s="3" t="s">
        <v>16</v>
      </c>
      <c r="K9" s="1">
        <v>9755.9166666666661</v>
      </c>
      <c r="N9" s="3" t="s">
        <v>39</v>
      </c>
      <c r="O9" s="1">
        <v>11956.181818181818</v>
      </c>
    </row>
    <row r="10" spans="1:15" x14ac:dyDescent="0.55000000000000004">
      <c r="A10" t="s">
        <v>1057</v>
      </c>
      <c r="E10" s="3" t="s">
        <v>52</v>
      </c>
      <c r="F10" s="1">
        <v>10275.313432835821</v>
      </c>
      <c r="J10" s="3" t="s">
        <v>1060</v>
      </c>
      <c r="K10" s="1">
        <v>9925.3140000000003</v>
      </c>
      <c r="N10" s="3" t="s">
        <v>51</v>
      </c>
      <c r="O10" s="1">
        <v>12670.304347826086</v>
      </c>
    </row>
    <row r="11" spans="1:15" x14ac:dyDescent="0.55000000000000004">
      <c r="A11" s="5">
        <v>500</v>
      </c>
      <c r="E11" s="3" t="s">
        <v>35</v>
      </c>
      <c r="F11" s="1">
        <v>9805.9324324324316</v>
      </c>
      <c r="N11" s="3" t="s">
        <v>1060</v>
      </c>
      <c r="O11" s="1">
        <v>12186.620967741936</v>
      </c>
    </row>
    <row r="12" spans="1:15" x14ac:dyDescent="0.55000000000000004">
      <c r="A12">
        <f>GETPIVOTDATA("[Measures].[Count of Employee ID]",$A$10)</f>
        <v>500</v>
      </c>
      <c r="E12" s="3" t="s">
        <v>1060</v>
      </c>
      <c r="F12" s="1">
        <v>9925.3140000000003</v>
      </c>
    </row>
    <row r="15" spans="1:15" x14ac:dyDescent="0.55000000000000004">
      <c r="A15" t="s">
        <v>1058</v>
      </c>
    </row>
    <row r="16" spans="1:15" x14ac:dyDescent="0.55000000000000004">
      <c r="A16" t="s">
        <v>1068</v>
      </c>
      <c r="J16" t="s">
        <v>1066</v>
      </c>
    </row>
    <row r="17" spans="1:11" x14ac:dyDescent="0.55000000000000004">
      <c r="A17" s="5">
        <v>7</v>
      </c>
      <c r="J17" s="2" t="s">
        <v>1059</v>
      </c>
      <c r="K17" t="s">
        <v>1063</v>
      </c>
    </row>
    <row r="18" spans="1:11" x14ac:dyDescent="0.55000000000000004">
      <c r="A18">
        <f>GETPIVOTDATA("[Measures].[Distinct Count of Location]",$A$16)</f>
        <v>7</v>
      </c>
      <c r="E18" t="s">
        <v>1064</v>
      </c>
      <c r="J18" s="3">
        <v>0</v>
      </c>
      <c r="K18" s="1">
        <v>5808.0344827586205</v>
      </c>
    </row>
    <row r="19" spans="1:11" x14ac:dyDescent="0.55000000000000004">
      <c r="E19" s="2" t="s">
        <v>1059</v>
      </c>
      <c r="F19" t="s">
        <v>1063</v>
      </c>
      <c r="J19" s="3">
        <v>1</v>
      </c>
      <c r="K19" s="1">
        <v>6348.478260869565</v>
      </c>
    </row>
    <row r="20" spans="1:11" x14ac:dyDescent="0.55000000000000004">
      <c r="A20" t="s">
        <v>1061</v>
      </c>
      <c r="E20" s="3" t="s">
        <v>43</v>
      </c>
      <c r="F20" s="1">
        <v>9484.5245901639337</v>
      </c>
      <c r="J20" s="3">
        <v>2</v>
      </c>
      <c r="K20" s="1">
        <v>6528.25</v>
      </c>
    </row>
    <row r="21" spans="1:11" x14ac:dyDescent="0.55000000000000004">
      <c r="A21" t="s">
        <v>1069</v>
      </c>
      <c r="E21" s="3" t="s">
        <v>33</v>
      </c>
      <c r="F21" s="1">
        <v>8216.0689655172409</v>
      </c>
      <c r="J21" s="3">
        <v>3</v>
      </c>
      <c r="K21" s="1">
        <v>7416.2941176470586</v>
      </c>
    </row>
    <row r="22" spans="1:11" x14ac:dyDescent="0.55000000000000004">
      <c r="A22" s="5">
        <v>7</v>
      </c>
      <c r="E22" s="3" t="s">
        <v>19</v>
      </c>
      <c r="F22" s="1">
        <v>12152.5</v>
      </c>
      <c r="J22" s="3">
        <v>4</v>
      </c>
      <c r="K22" s="1">
        <v>7836.08</v>
      </c>
    </row>
    <row r="23" spans="1:11" x14ac:dyDescent="0.55000000000000004">
      <c r="A23">
        <f>GETPIVOTDATA("[Measures].[Distinct Count of Department]",$A$21)</f>
        <v>7</v>
      </c>
      <c r="E23" s="3" t="s">
        <v>61</v>
      </c>
      <c r="F23" s="1">
        <v>8973.9125000000004</v>
      </c>
      <c r="J23" s="3">
        <v>5</v>
      </c>
      <c r="K23" s="1">
        <v>8115.4285714285716</v>
      </c>
    </row>
    <row r="24" spans="1:11" x14ac:dyDescent="0.55000000000000004">
      <c r="E24" s="3" t="s">
        <v>47</v>
      </c>
      <c r="F24" s="1">
        <v>9319.7285714285717</v>
      </c>
      <c r="J24" s="3">
        <v>6</v>
      </c>
      <c r="K24" s="1">
        <v>7882.333333333333</v>
      </c>
    </row>
    <row r="25" spans="1:11" x14ac:dyDescent="0.55000000000000004">
      <c r="E25" s="3" t="s">
        <v>12</v>
      </c>
      <c r="F25" s="1">
        <v>11623.743243243243</v>
      </c>
      <c r="J25" s="3">
        <v>7</v>
      </c>
      <c r="K25" s="1">
        <v>8836.2000000000007</v>
      </c>
    </row>
    <row r="26" spans="1:11" x14ac:dyDescent="0.55000000000000004">
      <c r="E26" s="3" t="s">
        <v>55</v>
      </c>
      <c r="F26" s="1">
        <v>9154.7792207792209</v>
      </c>
      <c r="J26" s="3">
        <v>8</v>
      </c>
      <c r="K26" s="1">
        <v>8817.0769230769238</v>
      </c>
    </row>
    <row r="27" spans="1:11" x14ac:dyDescent="0.55000000000000004">
      <c r="A27" t="s">
        <v>1070</v>
      </c>
      <c r="E27" s="3" t="s">
        <v>1060</v>
      </c>
      <c r="F27" s="1">
        <v>9925.3140000000003</v>
      </c>
      <c r="J27" s="3">
        <v>9</v>
      </c>
      <c r="K27" s="1">
        <v>9717.181818181818</v>
      </c>
    </row>
    <row r="28" spans="1:11" x14ac:dyDescent="0.55000000000000004">
      <c r="A28" t="s">
        <v>1071</v>
      </c>
      <c r="J28" s="3">
        <v>10</v>
      </c>
      <c r="K28" s="1">
        <v>9713.454545454546</v>
      </c>
    </row>
    <row r="29" spans="1:11" x14ac:dyDescent="0.55000000000000004">
      <c r="A29" s="5">
        <v>21</v>
      </c>
      <c r="J29" s="3">
        <v>11</v>
      </c>
      <c r="K29" s="1">
        <v>10172.611111111111</v>
      </c>
    </row>
    <row r="30" spans="1:11" x14ac:dyDescent="0.55000000000000004">
      <c r="A30">
        <f>GETPIVOTDATA("[Measures].[Distinct Count of Job Title]",$A$28)</f>
        <v>21</v>
      </c>
      <c r="J30" s="3">
        <v>12</v>
      </c>
      <c r="K30" s="1">
        <v>10604.45</v>
      </c>
    </row>
    <row r="31" spans="1:11" x14ac:dyDescent="0.55000000000000004">
      <c r="J31" s="3">
        <v>13</v>
      </c>
      <c r="K31" s="1">
        <v>10677.666666666666</v>
      </c>
    </row>
    <row r="32" spans="1:11" x14ac:dyDescent="0.55000000000000004">
      <c r="J32" s="3">
        <v>14</v>
      </c>
      <c r="K32" s="1">
        <v>10835.3125</v>
      </c>
    </row>
    <row r="33" spans="10:11" x14ac:dyDescent="0.55000000000000004">
      <c r="J33" s="3">
        <v>15</v>
      </c>
      <c r="K33" s="1">
        <v>11643.533333333333</v>
      </c>
    </row>
    <row r="34" spans="10:11" x14ac:dyDescent="0.55000000000000004">
      <c r="J34" s="3">
        <v>16</v>
      </c>
      <c r="K34" s="1">
        <v>12042.173913043478</v>
      </c>
    </row>
    <row r="35" spans="10:11" x14ac:dyDescent="0.55000000000000004">
      <c r="J35" s="3">
        <v>17</v>
      </c>
      <c r="K35" s="1">
        <v>11601.5625</v>
      </c>
    </row>
    <row r="36" spans="10:11" x14ac:dyDescent="0.55000000000000004">
      <c r="J36" s="3">
        <v>18</v>
      </c>
      <c r="K36" s="1">
        <v>12015.272727272728</v>
      </c>
    </row>
    <row r="37" spans="10:11" x14ac:dyDescent="0.55000000000000004">
      <c r="J37" s="3">
        <v>19</v>
      </c>
      <c r="K37" s="1">
        <v>13130.5</v>
      </c>
    </row>
    <row r="38" spans="10:11" x14ac:dyDescent="0.55000000000000004">
      <c r="J38" s="3">
        <v>20</v>
      </c>
      <c r="K38" s="1">
        <v>12214.285714285714</v>
      </c>
    </row>
    <row r="39" spans="10:11" x14ac:dyDescent="0.55000000000000004">
      <c r="J39" s="3">
        <v>21</v>
      </c>
      <c r="K39" s="1">
        <v>13862.9</v>
      </c>
    </row>
    <row r="40" spans="10:11" x14ac:dyDescent="0.55000000000000004">
      <c r="J40" s="3">
        <v>22</v>
      </c>
      <c r="K40" s="1">
        <v>13721.3</v>
      </c>
    </row>
    <row r="41" spans="10:11" x14ac:dyDescent="0.55000000000000004">
      <c r="J41" s="3">
        <v>23</v>
      </c>
      <c r="K41" s="1">
        <v>13648</v>
      </c>
    </row>
    <row r="42" spans="10:11" x14ac:dyDescent="0.55000000000000004">
      <c r="J42" s="3">
        <v>24</v>
      </c>
      <c r="K42" s="1">
        <v>14713</v>
      </c>
    </row>
    <row r="43" spans="10:11" x14ac:dyDescent="0.55000000000000004">
      <c r="J43" s="3">
        <v>25</v>
      </c>
      <c r="K43" s="1">
        <v>16005.166666666666</v>
      </c>
    </row>
    <row r="44" spans="10:11" x14ac:dyDescent="0.55000000000000004">
      <c r="J44" s="3">
        <v>26</v>
      </c>
      <c r="K44" s="1">
        <v>16182.375</v>
      </c>
    </row>
    <row r="45" spans="10:11" x14ac:dyDescent="0.55000000000000004">
      <c r="J45" s="3">
        <v>27</v>
      </c>
      <c r="K45" s="1">
        <v>15153.75</v>
      </c>
    </row>
    <row r="46" spans="10:11" x14ac:dyDescent="0.55000000000000004">
      <c r="J46" s="3">
        <v>28</v>
      </c>
      <c r="K46" s="1">
        <v>17912.5</v>
      </c>
    </row>
    <row r="47" spans="10:11" x14ac:dyDescent="0.55000000000000004">
      <c r="J47" s="3">
        <v>29</v>
      </c>
      <c r="K47" s="1">
        <v>14154.333333333334</v>
      </c>
    </row>
    <row r="48" spans="10:11" x14ac:dyDescent="0.55000000000000004">
      <c r="J48" s="3">
        <v>30</v>
      </c>
      <c r="K48" s="1">
        <v>16074.333333333334</v>
      </c>
    </row>
    <row r="49" spans="10:11" x14ac:dyDescent="0.55000000000000004">
      <c r="J49" s="3">
        <v>31</v>
      </c>
      <c r="K49" s="1">
        <v>17084</v>
      </c>
    </row>
    <row r="50" spans="10:11" x14ac:dyDescent="0.55000000000000004">
      <c r="J50" s="3">
        <v>32</v>
      </c>
      <c r="K50" s="1">
        <v>19552</v>
      </c>
    </row>
    <row r="51" spans="10:11" x14ac:dyDescent="0.55000000000000004">
      <c r="J51" s="3">
        <v>33</v>
      </c>
      <c r="K51" s="1">
        <v>13250.5</v>
      </c>
    </row>
    <row r="52" spans="10:11" x14ac:dyDescent="0.55000000000000004">
      <c r="J52" s="3">
        <v>34</v>
      </c>
      <c r="K52" s="1">
        <v>20543</v>
      </c>
    </row>
    <row r="53" spans="10:11" x14ac:dyDescent="0.55000000000000004">
      <c r="J53" s="3">
        <v>37</v>
      </c>
      <c r="K53" s="1">
        <v>16899</v>
      </c>
    </row>
    <row r="54" spans="10:11" x14ac:dyDescent="0.55000000000000004">
      <c r="J54" s="3" t="s">
        <v>1060</v>
      </c>
      <c r="K54" s="1">
        <v>9925.3140000000003</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2FD4-94AC-4AAB-B454-7FCE91746AA2}">
  <dimension ref="A1:J501"/>
  <sheetViews>
    <sheetView workbookViewId="0"/>
  </sheetViews>
  <sheetFormatPr defaultRowHeight="14.4" x14ac:dyDescent="0.55000000000000004"/>
  <cols>
    <col min="1" max="1" width="13" bestFit="1" customWidth="1"/>
    <col min="2" max="2" width="18.26171875" bestFit="1" customWidth="1"/>
    <col min="3" max="3" width="12.578125" bestFit="1" customWidth="1"/>
    <col min="4" max="4" width="17.3125" bestFit="1" customWidth="1"/>
    <col min="6" max="6" width="5.83984375" bestFit="1" customWidth="1"/>
    <col min="7" max="7" width="17.89453125" bestFit="1" customWidth="1"/>
    <col min="8" max="8" width="7.83984375" bestFit="1" customWidth="1"/>
    <col min="9" max="9" width="10.3671875" bestFit="1" customWidth="1"/>
    <col min="10" max="10" width="15.62890625" bestFit="1" customWidth="1"/>
  </cols>
  <sheetData>
    <row r="1" spans="1:10" x14ac:dyDescent="0.55000000000000004">
      <c r="A1" t="s">
        <v>0</v>
      </c>
      <c r="B1" t="s">
        <v>1</v>
      </c>
      <c r="C1" t="s">
        <v>2</v>
      </c>
      <c r="D1" t="s">
        <v>3</v>
      </c>
      <c r="E1" t="s">
        <v>4</v>
      </c>
      <c r="F1" t="s">
        <v>5</v>
      </c>
      <c r="G1" t="s">
        <v>6</v>
      </c>
      <c r="H1" t="s">
        <v>7</v>
      </c>
      <c r="I1" t="s">
        <v>8</v>
      </c>
      <c r="J1" t="s">
        <v>9</v>
      </c>
    </row>
    <row r="2" spans="1:10" x14ac:dyDescent="0.55000000000000004">
      <c r="A2" t="s">
        <v>10</v>
      </c>
      <c r="B2" t="s">
        <v>11</v>
      </c>
      <c r="C2" t="s">
        <v>12</v>
      </c>
      <c r="D2" t="s">
        <v>13</v>
      </c>
      <c r="E2" t="s">
        <v>14</v>
      </c>
      <c r="F2">
        <v>36</v>
      </c>
      <c r="G2">
        <v>14</v>
      </c>
      <c r="H2">
        <v>12036</v>
      </c>
      <c r="I2" t="s">
        <v>15</v>
      </c>
      <c r="J2" t="s">
        <v>16</v>
      </c>
    </row>
    <row r="3" spans="1:10" x14ac:dyDescent="0.55000000000000004">
      <c r="A3" t="s">
        <v>17</v>
      </c>
      <c r="B3" t="s">
        <v>18</v>
      </c>
      <c r="C3" t="s">
        <v>19</v>
      </c>
      <c r="D3" t="s">
        <v>20</v>
      </c>
      <c r="E3" t="s">
        <v>14</v>
      </c>
      <c r="F3">
        <v>32</v>
      </c>
      <c r="G3">
        <v>4</v>
      </c>
      <c r="H3">
        <v>9680</v>
      </c>
      <c r="I3" t="s">
        <v>21</v>
      </c>
      <c r="J3" t="s">
        <v>22</v>
      </c>
    </row>
    <row r="4" spans="1:10" x14ac:dyDescent="0.55000000000000004">
      <c r="A4" t="s">
        <v>23</v>
      </c>
      <c r="B4" t="s">
        <v>24</v>
      </c>
      <c r="C4" t="s">
        <v>12</v>
      </c>
      <c r="D4" t="s">
        <v>25</v>
      </c>
      <c r="E4" t="s">
        <v>14</v>
      </c>
      <c r="F4">
        <v>42</v>
      </c>
      <c r="G4">
        <v>11</v>
      </c>
      <c r="H4">
        <v>12667</v>
      </c>
      <c r="I4" t="s">
        <v>21</v>
      </c>
      <c r="J4" t="s">
        <v>22</v>
      </c>
    </row>
    <row r="5" spans="1:10" x14ac:dyDescent="0.55000000000000004">
      <c r="A5" t="s">
        <v>26</v>
      </c>
      <c r="B5" t="s">
        <v>27</v>
      </c>
      <c r="C5" t="s">
        <v>12</v>
      </c>
      <c r="D5" t="s">
        <v>28</v>
      </c>
      <c r="E5" t="s">
        <v>29</v>
      </c>
      <c r="F5">
        <v>46</v>
      </c>
      <c r="G5">
        <v>17</v>
      </c>
      <c r="H5">
        <v>13237</v>
      </c>
      <c r="I5" t="s">
        <v>30</v>
      </c>
      <c r="J5" t="s">
        <v>22</v>
      </c>
    </row>
    <row r="6" spans="1:10" x14ac:dyDescent="0.55000000000000004">
      <c r="A6" t="s">
        <v>31</v>
      </c>
      <c r="B6" t="s">
        <v>32</v>
      </c>
      <c r="C6" t="s">
        <v>33</v>
      </c>
      <c r="D6" t="s">
        <v>34</v>
      </c>
      <c r="E6" t="s">
        <v>14</v>
      </c>
      <c r="F6">
        <v>47</v>
      </c>
      <c r="G6">
        <v>9</v>
      </c>
      <c r="H6">
        <v>8599</v>
      </c>
      <c r="I6" t="s">
        <v>35</v>
      </c>
      <c r="J6" t="s">
        <v>36</v>
      </c>
    </row>
    <row r="7" spans="1:10" x14ac:dyDescent="0.55000000000000004">
      <c r="A7" t="s">
        <v>37</v>
      </c>
      <c r="B7" t="s">
        <v>38</v>
      </c>
      <c r="C7" t="s">
        <v>19</v>
      </c>
      <c r="D7" t="s">
        <v>39</v>
      </c>
      <c r="E7" t="s">
        <v>29</v>
      </c>
      <c r="F7">
        <v>54</v>
      </c>
      <c r="G7">
        <v>27</v>
      </c>
      <c r="H7">
        <v>16383</v>
      </c>
      <c r="I7" t="s">
        <v>35</v>
      </c>
      <c r="J7" t="s">
        <v>40</v>
      </c>
    </row>
    <row r="8" spans="1:10" x14ac:dyDescent="0.55000000000000004">
      <c r="A8" t="s">
        <v>41</v>
      </c>
      <c r="B8" t="s">
        <v>42</v>
      </c>
      <c r="C8" t="s">
        <v>43</v>
      </c>
      <c r="D8" t="s">
        <v>44</v>
      </c>
      <c r="E8" t="s">
        <v>29</v>
      </c>
      <c r="F8">
        <v>37</v>
      </c>
      <c r="G8">
        <v>16</v>
      </c>
      <c r="H8">
        <v>12297</v>
      </c>
      <c r="I8" t="s">
        <v>35</v>
      </c>
      <c r="J8" t="s">
        <v>22</v>
      </c>
    </row>
    <row r="9" spans="1:10" x14ac:dyDescent="0.55000000000000004">
      <c r="A9" t="s">
        <v>45</v>
      </c>
      <c r="B9" t="s">
        <v>46</v>
      </c>
      <c r="C9" t="s">
        <v>47</v>
      </c>
      <c r="D9" t="s">
        <v>48</v>
      </c>
      <c r="E9" t="s">
        <v>14</v>
      </c>
      <c r="F9">
        <v>44</v>
      </c>
      <c r="G9">
        <v>4</v>
      </c>
      <c r="H9">
        <v>8092</v>
      </c>
      <c r="I9" t="s">
        <v>30</v>
      </c>
      <c r="J9" t="s">
        <v>22</v>
      </c>
    </row>
    <row r="10" spans="1:10" x14ac:dyDescent="0.55000000000000004">
      <c r="A10" t="s">
        <v>49</v>
      </c>
      <c r="B10" t="s">
        <v>50</v>
      </c>
      <c r="C10" t="s">
        <v>19</v>
      </c>
      <c r="D10" t="s">
        <v>51</v>
      </c>
      <c r="E10" t="s">
        <v>14</v>
      </c>
      <c r="F10">
        <v>52</v>
      </c>
      <c r="G10">
        <v>27</v>
      </c>
      <c r="H10">
        <v>16732</v>
      </c>
      <c r="I10" t="s">
        <v>52</v>
      </c>
      <c r="J10" t="s">
        <v>22</v>
      </c>
    </row>
    <row r="11" spans="1:10" x14ac:dyDescent="0.55000000000000004">
      <c r="A11" t="s">
        <v>53</v>
      </c>
      <c r="B11" t="s">
        <v>54</v>
      </c>
      <c r="C11" t="s">
        <v>55</v>
      </c>
      <c r="D11" t="s">
        <v>56</v>
      </c>
      <c r="E11" t="s">
        <v>14</v>
      </c>
      <c r="F11">
        <v>23</v>
      </c>
      <c r="G11">
        <v>2</v>
      </c>
      <c r="H11">
        <v>5463</v>
      </c>
      <c r="I11" t="s">
        <v>21</v>
      </c>
      <c r="J11" t="s">
        <v>40</v>
      </c>
    </row>
    <row r="12" spans="1:10" x14ac:dyDescent="0.55000000000000004">
      <c r="A12" t="s">
        <v>57</v>
      </c>
      <c r="B12" t="s">
        <v>58</v>
      </c>
      <c r="C12" t="s">
        <v>19</v>
      </c>
      <c r="D12" t="s">
        <v>20</v>
      </c>
      <c r="E12" t="s">
        <v>29</v>
      </c>
      <c r="F12">
        <v>45</v>
      </c>
      <c r="G12">
        <v>13</v>
      </c>
      <c r="H12">
        <v>13793</v>
      </c>
      <c r="I12" t="s">
        <v>30</v>
      </c>
      <c r="J12" t="s">
        <v>40</v>
      </c>
    </row>
    <row r="13" spans="1:10" x14ac:dyDescent="0.55000000000000004">
      <c r="A13" t="s">
        <v>59</v>
      </c>
      <c r="B13" t="s">
        <v>60</v>
      </c>
      <c r="C13" t="s">
        <v>61</v>
      </c>
      <c r="D13" t="s">
        <v>62</v>
      </c>
      <c r="E13" t="s">
        <v>14</v>
      </c>
      <c r="F13">
        <v>42</v>
      </c>
      <c r="G13">
        <v>7</v>
      </c>
      <c r="H13">
        <v>7912</v>
      </c>
      <c r="I13" t="s">
        <v>30</v>
      </c>
      <c r="J13" t="s">
        <v>22</v>
      </c>
    </row>
    <row r="14" spans="1:10" x14ac:dyDescent="0.55000000000000004">
      <c r="A14" t="s">
        <v>63</v>
      </c>
      <c r="B14" t="s">
        <v>64</v>
      </c>
      <c r="C14" t="s">
        <v>47</v>
      </c>
      <c r="D14" t="s">
        <v>65</v>
      </c>
      <c r="E14" t="s">
        <v>29</v>
      </c>
      <c r="F14">
        <v>47</v>
      </c>
      <c r="G14">
        <v>5</v>
      </c>
      <c r="H14">
        <v>8475</v>
      </c>
      <c r="I14" t="s">
        <v>30</v>
      </c>
      <c r="J14" t="s">
        <v>16</v>
      </c>
    </row>
    <row r="15" spans="1:10" x14ac:dyDescent="0.55000000000000004">
      <c r="A15" t="s">
        <v>66</v>
      </c>
      <c r="B15" t="s">
        <v>67</v>
      </c>
      <c r="C15" t="s">
        <v>43</v>
      </c>
      <c r="D15" t="s">
        <v>68</v>
      </c>
      <c r="E15" t="s">
        <v>29</v>
      </c>
      <c r="F15">
        <v>39</v>
      </c>
      <c r="G15">
        <v>16</v>
      </c>
      <c r="H15">
        <v>11129</v>
      </c>
      <c r="I15" t="s">
        <v>30</v>
      </c>
      <c r="J15" t="s">
        <v>22</v>
      </c>
    </row>
    <row r="16" spans="1:10" x14ac:dyDescent="0.55000000000000004">
      <c r="A16" t="s">
        <v>69</v>
      </c>
      <c r="B16" t="s">
        <v>70</v>
      </c>
      <c r="C16" t="s">
        <v>47</v>
      </c>
      <c r="D16" t="s">
        <v>71</v>
      </c>
      <c r="E16" t="s">
        <v>29</v>
      </c>
      <c r="F16">
        <v>28</v>
      </c>
      <c r="G16">
        <v>4</v>
      </c>
      <c r="H16">
        <v>6744</v>
      </c>
      <c r="I16" t="s">
        <v>35</v>
      </c>
      <c r="J16" t="s">
        <v>22</v>
      </c>
    </row>
    <row r="17" spans="1:10" x14ac:dyDescent="0.55000000000000004">
      <c r="A17" t="s">
        <v>72</v>
      </c>
      <c r="B17" t="s">
        <v>73</v>
      </c>
      <c r="C17" t="s">
        <v>61</v>
      </c>
      <c r="D17" t="s">
        <v>74</v>
      </c>
      <c r="E17" t="s">
        <v>14</v>
      </c>
      <c r="F17">
        <v>48</v>
      </c>
      <c r="G17">
        <v>13</v>
      </c>
      <c r="H17">
        <v>8080</v>
      </c>
      <c r="I17" t="s">
        <v>52</v>
      </c>
      <c r="J17" t="s">
        <v>40</v>
      </c>
    </row>
    <row r="18" spans="1:10" x14ac:dyDescent="0.55000000000000004">
      <c r="A18" t="s">
        <v>75</v>
      </c>
      <c r="B18" t="s">
        <v>76</v>
      </c>
      <c r="C18" t="s">
        <v>33</v>
      </c>
      <c r="D18" t="s">
        <v>77</v>
      </c>
      <c r="E18" t="s">
        <v>29</v>
      </c>
      <c r="F18">
        <v>34</v>
      </c>
      <c r="G18">
        <v>2</v>
      </c>
      <c r="H18">
        <v>5402</v>
      </c>
      <c r="I18" t="s">
        <v>21</v>
      </c>
      <c r="J18" t="s">
        <v>22</v>
      </c>
    </row>
    <row r="19" spans="1:10" x14ac:dyDescent="0.55000000000000004">
      <c r="A19" t="s">
        <v>78</v>
      </c>
      <c r="B19" t="s">
        <v>79</v>
      </c>
      <c r="C19" t="s">
        <v>55</v>
      </c>
      <c r="D19" t="s">
        <v>80</v>
      </c>
      <c r="E19" t="s">
        <v>14</v>
      </c>
      <c r="F19">
        <v>30</v>
      </c>
      <c r="G19">
        <v>8</v>
      </c>
      <c r="H19">
        <v>7396</v>
      </c>
      <c r="I19" t="s">
        <v>52</v>
      </c>
      <c r="J19" t="s">
        <v>22</v>
      </c>
    </row>
    <row r="20" spans="1:10" x14ac:dyDescent="0.55000000000000004">
      <c r="A20" t="s">
        <v>81</v>
      </c>
      <c r="B20" t="s">
        <v>82</v>
      </c>
      <c r="C20" t="s">
        <v>47</v>
      </c>
      <c r="D20" t="s">
        <v>65</v>
      </c>
      <c r="E20" t="s">
        <v>14</v>
      </c>
      <c r="F20">
        <v>28</v>
      </c>
      <c r="G20">
        <v>7</v>
      </c>
      <c r="H20">
        <v>9746</v>
      </c>
      <c r="I20" t="s">
        <v>83</v>
      </c>
      <c r="J20" t="s">
        <v>22</v>
      </c>
    </row>
    <row r="21" spans="1:10" x14ac:dyDescent="0.55000000000000004">
      <c r="A21" t="s">
        <v>84</v>
      </c>
      <c r="B21" t="s">
        <v>85</v>
      </c>
      <c r="C21" t="s">
        <v>55</v>
      </c>
      <c r="D21" t="s">
        <v>80</v>
      </c>
      <c r="E21" t="s">
        <v>14</v>
      </c>
      <c r="F21">
        <v>51</v>
      </c>
      <c r="G21">
        <v>25</v>
      </c>
      <c r="H21">
        <v>15777</v>
      </c>
      <c r="I21" t="s">
        <v>52</v>
      </c>
      <c r="J21" t="s">
        <v>36</v>
      </c>
    </row>
    <row r="22" spans="1:10" x14ac:dyDescent="0.55000000000000004">
      <c r="A22" t="s">
        <v>86</v>
      </c>
      <c r="B22" t="s">
        <v>87</v>
      </c>
      <c r="C22" t="s">
        <v>19</v>
      </c>
      <c r="D22" t="s">
        <v>51</v>
      </c>
      <c r="E22" t="s">
        <v>14</v>
      </c>
      <c r="F22">
        <v>35</v>
      </c>
      <c r="G22">
        <v>9</v>
      </c>
      <c r="H22">
        <v>11904</v>
      </c>
      <c r="I22" t="s">
        <v>21</v>
      </c>
      <c r="J22" t="s">
        <v>22</v>
      </c>
    </row>
    <row r="23" spans="1:10" x14ac:dyDescent="0.55000000000000004">
      <c r="A23" t="s">
        <v>88</v>
      </c>
      <c r="B23" t="s">
        <v>89</v>
      </c>
      <c r="C23" t="s">
        <v>33</v>
      </c>
      <c r="D23" t="s">
        <v>77</v>
      </c>
      <c r="E23" t="s">
        <v>29</v>
      </c>
      <c r="F23">
        <v>26</v>
      </c>
      <c r="G23">
        <v>3</v>
      </c>
      <c r="H23">
        <v>6652</v>
      </c>
      <c r="I23" t="s">
        <v>90</v>
      </c>
      <c r="J23" t="s">
        <v>16</v>
      </c>
    </row>
    <row r="24" spans="1:10" x14ac:dyDescent="0.55000000000000004">
      <c r="A24" t="s">
        <v>91</v>
      </c>
      <c r="B24" t="s">
        <v>92</v>
      </c>
      <c r="C24" t="s">
        <v>33</v>
      </c>
      <c r="D24" t="s">
        <v>93</v>
      </c>
      <c r="E24" t="s">
        <v>29</v>
      </c>
      <c r="F24">
        <v>40</v>
      </c>
      <c r="G24">
        <v>12</v>
      </c>
      <c r="H24">
        <v>7541</v>
      </c>
      <c r="I24" t="s">
        <v>90</v>
      </c>
      <c r="J24" t="s">
        <v>22</v>
      </c>
    </row>
    <row r="25" spans="1:10" x14ac:dyDescent="0.55000000000000004">
      <c r="A25" t="s">
        <v>94</v>
      </c>
      <c r="B25" t="s">
        <v>95</v>
      </c>
      <c r="C25" t="s">
        <v>43</v>
      </c>
      <c r="D25" t="s">
        <v>68</v>
      </c>
      <c r="E25" t="s">
        <v>14</v>
      </c>
      <c r="F25">
        <v>31</v>
      </c>
      <c r="G25">
        <v>9</v>
      </c>
      <c r="H25">
        <v>8415</v>
      </c>
      <c r="I25" t="s">
        <v>15</v>
      </c>
      <c r="J25" t="s">
        <v>40</v>
      </c>
    </row>
    <row r="26" spans="1:10" x14ac:dyDescent="0.55000000000000004">
      <c r="A26" t="s">
        <v>96</v>
      </c>
      <c r="B26" t="s">
        <v>97</v>
      </c>
      <c r="C26" t="s">
        <v>47</v>
      </c>
      <c r="D26" t="s">
        <v>65</v>
      </c>
      <c r="E26" t="s">
        <v>29</v>
      </c>
      <c r="F26">
        <v>35</v>
      </c>
      <c r="G26">
        <v>1</v>
      </c>
      <c r="H26">
        <v>6713</v>
      </c>
      <c r="I26" t="s">
        <v>83</v>
      </c>
      <c r="J26" t="s">
        <v>36</v>
      </c>
    </row>
    <row r="27" spans="1:10" x14ac:dyDescent="0.55000000000000004">
      <c r="A27" t="s">
        <v>98</v>
      </c>
      <c r="B27" t="s">
        <v>99</v>
      </c>
      <c r="C27" t="s">
        <v>47</v>
      </c>
      <c r="D27" t="s">
        <v>71</v>
      </c>
      <c r="E27" t="s">
        <v>14</v>
      </c>
      <c r="F27">
        <v>30</v>
      </c>
      <c r="G27">
        <v>6</v>
      </c>
      <c r="H27">
        <v>8299</v>
      </c>
      <c r="I27" t="s">
        <v>52</v>
      </c>
      <c r="J27" t="s">
        <v>16</v>
      </c>
    </row>
    <row r="28" spans="1:10" x14ac:dyDescent="0.55000000000000004">
      <c r="A28" t="s">
        <v>100</v>
      </c>
      <c r="B28" t="s">
        <v>101</v>
      </c>
      <c r="C28" t="s">
        <v>19</v>
      </c>
      <c r="D28" t="s">
        <v>20</v>
      </c>
      <c r="E28" t="s">
        <v>29</v>
      </c>
      <c r="F28">
        <v>34</v>
      </c>
      <c r="G28">
        <v>9</v>
      </c>
      <c r="H28">
        <v>11303</v>
      </c>
      <c r="I28" t="s">
        <v>90</v>
      </c>
      <c r="J28" t="s">
        <v>22</v>
      </c>
    </row>
    <row r="29" spans="1:10" x14ac:dyDescent="0.55000000000000004">
      <c r="A29" t="s">
        <v>102</v>
      </c>
      <c r="B29" t="s">
        <v>103</v>
      </c>
      <c r="C29" t="s">
        <v>61</v>
      </c>
      <c r="D29" t="s">
        <v>74</v>
      </c>
      <c r="E29" t="s">
        <v>29</v>
      </c>
      <c r="F29">
        <v>58</v>
      </c>
      <c r="G29">
        <v>22</v>
      </c>
      <c r="H29">
        <v>16488</v>
      </c>
      <c r="I29" t="s">
        <v>35</v>
      </c>
      <c r="J29" t="s">
        <v>36</v>
      </c>
    </row>
    <row r="30" spans="1:10" x14ac:dyDescent="0.55000000000000004">
      <c r="A30" t="s">
        <v>104</v>
      </c>
      <c r="B30" t="s">
        <v>105</v>
      </c>
      <c r="C30" t="s">
        <v>33</v>
      </c>
      <c r="D30" t="s">
        <v>77</v>
      </c>
      <c r="E30" t="s">
        <v>29</v>
      </c>
      <c r="F30">
        <v>28</v>
      </c>
      <c r="G30">
        <v>3</v>
      </c>
      <c r="H30">
        <v>6847</v>
      </c>
      <c r="I30" t="s">
        <v>35</v>
      </c>
      <c r="J30" t="s">
        <v>22</v>
      </c>
    </row>
    <row r="31" spans="1:10" x14ac:dyDescent="0.55000000000000004">
      <c r="A31" t="s">
        <v>106</v>
      </c>
      <c r="B31" t="s">
        <v>107</v>
      </c>
      <c r="C31" t="s">
        <v>19</v>
      </c>
      <c r="D31" t="s">
        <v>39</v>
      </c>
      <c r="E31" t="s">
        <v>14</v>
      </c>
      <c r="F31">
        <v>40</v>
      </c>
      <c r="G31">
        <v>4</v>
      </c>
      <c r="H31">
        <v>9991</v>
      </c>
      <c r="I31" t="s">
        <v>83</v>
      </c>
      <c r="J31" t="s">
        <v>36</v>
      </c>
    </row>
    <row r="32" spans="1:10" x14ac:dyDescent="0.55000000000000004">
      <c r="A32" t="s">
        <v>108</v>
      </c>
      <c r="B32" t="s">
        <v>109</v>
      </c>
      <c r="C32" t="s">
        <v>19</v>
      </c>
      <c r="D32" t="s">
        <v>39</v>
      </c>
      <c r="E32" t="s">
        <v>14</v>
      </c>
      <c r="F32">
        <v>57</v>
      </c>
      <c r="G32">
        <v>3</v>
      </c>
      <c r="H32">
        <v>9593</v>
      </c>
      <c r="I32" t="s">
        <v>21</v>
      </c>
      <c r="J32" t="s">
        <v>22</v>
      </c>
    </row>
    <row r="33" spans="1:10" x14ac:dyDescent="0.55000000000000004">
      <c r="A33" t="s">
        <v>110</v>
      </c>
      <c r="B33" t="s">
        <v>111</v>
      </c>
      <c r="C33" t="s">
        <v>19</v>
      </c>
      <c r="D33" t="s">
        <v>39</v>
      </c>
      <c r="E33" t="s">
        <v>14</v>
      </c>
      <c r="F33">
        <v>46</v>
      </c>
      <c r="G33">
        <v>12</v>
      </c>
      <c r="H33">
        <v>11531</v>
      </c>
      <c r="I33" t="s">
        <v>52</v>
      </c>
      <c r="J33" t="s">
        <v>22</v>
      </c>
    </row>
    <row r="34" spans="1:10" x14ac:dyDescent="0.55000000000000004">
      <c r="A34" t="s">
        <v>112</v>
      </c>
      <c r="B34" t="s">
        <v>113</v>
      </c>
      <c r="C34" t="s">
        <v>12</v>
      </c>
      <c r="D34" t="s">
        <v>25</v>
      </c>
      <c r="E34" t="s">
        <v>14</v>
      </c>
      <c r="F34">
        <v>40</v>
      </c>
      <c r="G34">
        <v>9</v>
      </c>
      <c r="H34">
        <v>9800</v>
      </c>
      <c r="I34" t="s">
        <v>52</v>
      </c>
      <c r="J34" t="s">
        <v>40</v>
      </c>
    </row>
    <row r="35" spans="1:10" x14ac:dyDescent="0.55000000000000004">
      <c r="A35" t="s">
        <v>114</v>
      </c>
      <c r="B35" t="s">
        <v>115</v>
      </c>
      <c r="C35" t="s">
        <v>61</v>
      </c>
      <c r="D35" t="s">
        <v>74</v>
      </c>
      <c r="E35" t="s">
        <v>14</v>
      </c>
      <c r="F35">
        <v>25</v>
      </c>
      <c r="G35">
        <v>1</v>
      </c>
      <c r="H35">
        <v>6313</v>
      </c>
      <c r="I35" t="s">
        <v>52</v>
      </c>
      <c r="J35" t="s">
        <v>40</v>
      </c>
    </row>
    <row r="36" spans="1:10" x14ac:dyDescent="0.55000000000000004">
      <c r="A36" t="s">
        <v>116</v>
      </c>
      <c r="B36" t="s">
        <v>117</v>
      </c>
      <c r="C36" t="s">
        <v>12</v>
      </c>
      <c r="D36" t="s">
        <v>28</v>
      </c>
      <c r="E36" t="s">
        <v>14</v>
      </c>
      <c r="F36">
        <v>52</v>
      </c>
      <c r="G36">
        <v>4</v>
      </c>
      <c r="H36">
        <v>8714</v>
      </c>
      <c r="I36" t="s">
        <v>30</v>
      </c>
      <c r="J36" t="s">
        <v>22</v>
      </c>
    </row>
    <row r="37" spans="1:10" x14ac:dyDescent="0.55000000000000004">
      <c r="A37" t="s">
        <v>118</v>
      </c>
      <c r="B37" t="s">
        <v>119</v>
      </c>
      <c r="C37" t="s">
        <v>55</v>
      </c>
      <c r="D37" t="s">
        <v>120</v>
      </c>
      <c r="E37" t="s">
        <v>14</v>
      </c>
      <c r="F37">
        <v>28</v>
      </c>
      <c r="G37">
        <v>6</v>
      </c>
      <c r="H37">
        <v>7231</v>
      </c>
      <c r="I37" t="s">
        <v>15</v>
      </c>
      <c r="J37" t="s">
        <v>36</v>
      </c>
    </row>
    <row r="38" spans="1:10" x14ac:dyDescent="0.55000000000000004">
      <c r="A38" t="s">
        <v>121</v>
      </c>
      <c r="B38" t="s">
        <v>122</v>
      </c>
      <c r="C38" t="s">
        <v>61</v>
      </c>
      <c r="D38" t="s">
        <v>74</v>
      </c>
      <c r="E38" t="s">
        <v>29</v>
      </c>
      <c r="F38">
        <v>44</v>
      </c>
      <c r="G38">
        <v>22</v>
      </c>
      <c r="H38">
        <v>13492</v>
      </c>
      <c r="I38" t="s">
        <v>21</v>
      </c>
      <c r="J38" t="s">
        <v>40</v>
      </c>
    </row>
    <row r="39" spans="1:10" x14ac:dyDescent="0.55000000000000004">
      <c r="A39" t="s">
        <v>123</v>
      </c>
      <c r="B39" t="s">
        <v>124</v>
      </c>
      <c r="C39" t="s">
        <v>33</v>
      </c>
      <c r="D39" t="s">
        <v>77</v>
      </c>
      <c r="E39" t="s">
        <v>29</v>
      </c>
      <c r="F39">
        <v>28</v>
      </c>
      <c r="G39">
        <v>0</v>
      </c>
      <c r="H39">
        <v>5424</v>
      </c>
      <c r="I39" t="s">
        <v>83</v>
      </c>
      <c r="J39" t="s">
        <v>36</v>
      </c>
    </row>
    <row r="40" spans="1:10" x14ac:dyDescent="0.55000000000000004">
      <c r="A40" t="s">
        <v>125</v>
      </c>
      <c r="B40" t="s">
        <v>126</v>
      </c>
      <c r="C40" t="s">
        <v>61</v>
      </c>
      <c r="D40" t="s">
        <v>74</v>
      </c>
      <c r="E40" t="s">
        <v>14</v>
      </c>
      <c r="F40">
        <v>51</v>
      </c>
      <c r="G40">
        <v>9</v>
      </c>
      <c r="H40">
        <v>7212</v>
      </c>
      <c r="I40" t="s">
        <v>15</v>
      </c>
      <c r="J40" t="s">
        <v>22</v>
      </c>
    </row>
    <row r="41" spans="1:10" x14ac:dyDescent="0.55000000000000004">
      <c r="A41" t="s">
        <v>127</v>
      </c>
      <c r="B41" t="s">
        <v>128</v>
      </c>
      <c r="C41" t="s">
        <v>33</v>
      </c>
      <c r="D41" t="s">
        <v>34</v>
      </c>
      <c r="E41" t="s">
        <v>29</v>
      </c>
      <c r="F41">
        <v>39</v>
      </c>
      <c r="G41">
        <v>4</v>
      </c>
      <c r="H41">
        <v>6552</v>
      </c>
      <c r="I41" t="s">
        <v>21</v>
      </c>
      <c r="J41" t="s">
        <v>40</v>
      </c>
    </row>
    <row r="42" spans="1:10" x14ac:dyDescent="0.55000000000000004">
      <c r="A42" t="s">
        <v>129</v>
      </c>
      <c r="B42" t="s">
        <v>130</v>
      </c>
      <c r="C42" t="s">
        <v>55</v>
      </c>
      <c r="D42" t="s">
        <v>56</v>
      </c>
      <c r="E42" t="s">
        <v>29</v>
      </c>
      <c r="F42">
        <v>43</v>
      </c>
      <c r="G42">
        <v>20</v>
      </c>
      <c r="H42">
        <v>9375</v>
      </c>
      <c r="I42" t="s">
        <v>83</v>
      </c>
      <c r="J42" t="s">
        <v>22</v>
      </c>
    </row>
    <row r="43" spans="1:10" x14ac:dyDescent="0.55000000000000004">
      <c r="A43" t="s">
        <v>131</v>
      </c>
      <c r="B43" t="s">
        <v>132</v>
      </c>
      <c r="C43" t="s">
        <v>19</v>
      </c>
      <c r="D43" t="s">
        <v>39</v>
      </c>
      <c r="E43" t="s">
        <v>29</v>
      </c>
      <c r="F43">
        <v>41</v>
      </c>
      <c r="G43">
        <v>12</v>
      </c>
      <c r="H43">
        <v>12215</v>
      </c>
      <c r="I43" t="s">
        <v>21</v>
      </c>
      <c r="J43" t="s">
        <v>22</v>
      </c>
    </row>
    <row r="44" spans="1:10" x14ac:dyDescent="0.55000000000000004">
      <c r="A44" t="s">
        <v>133</v>
      </c>
      <c r="B44" t="s">
        <v>134</v>
      </c>
      <c r="C44" t="s">
        <v>33</v>
      </c>
      <c r="D44" t="s">
        <v>77</v>
      </c>
      <c r="E44" t="s">
        <v>14</v>
      </c>
      <c r="F44">
        <v>31</v>
      </c>
      <c r="G44">
        <v>8</v>
      </c>
      <c r="H44">
        <v>9200</v>
      </c>
      <c r="I44" t="s">
        <v>90</v>
      </c>
      <c r="J44" t="s">
        <v>22</v>
      </c>
    </row>
    <row r="45" spans="1:10" x14ac:dyDescent="0.55000000000000004">
      <c r="A45" t="s">
        <v>135</v>
      </c>
      <c r="B45" t="s">
        <v>136</v>
      </c>
      <c r="C45" t="s">
        <v>47</v>
      </c>
      <c r="D45" t="s">
        <v>48</v>
      </c>
      <c r="E45" t="s">
        <v>14</v>
      </c>
      <c r="F45">
        <v>45</v>
      </c>
      <c r="G45">
        <v>1</v>
      </c>
      <c r="H45">
        <v>5209</v>
      </c>
      <c r="I45" t="s">
        <v>90</v>
      </c>
      <c r="J45" t="s">
        <v>22</v>
      </c>
    </row>
    <row r="46" spans="1:10" x14ac:dyDescent="0.55000000000000004">
      <c r="A46" t="s">
        <v>137</v>
      </c>
      <c r="B46" t="s">
        <v>138</v>
      </c>
      <c r="C46" t="s">
        <v>47</v>
      </c>
      <c r="D46" t="s">
        <v>65</v>
      </c>
      <c r="E46" t="s">
        <v>14</v>
      </c>
      <c r="F46">
        <v>44</v>
      </c>
      <c r="G46">
        <v>22</v>
      </c>
      <c r="H46">
        <v>14218</v>
      </c>
      <c r="I46" t="s">
        <v>35</v>
      </c>
      <c r="J46" t="s">
        <v>40</v>
      </c>
    </row>
    <row r="47" spans="1:10" x14ac:dyDescent="0.55000000000000004">
      <c r="A47" t="s">
        <v>139</v>
      </c>
      <c r="B47" t="s">
        <v>140</v>
      </c>
      <c r="C47" t="s">
        <v>33</v>
      </c>
      <c r="D47" t="s">
        <v>34</v>
      </c>
      <c r="E47" t="s">
        <v>29</v>
      </c>
      <c r="F47">
        <v>43</v>
      </c>
      <c r="G47">
        <v>11</v>
      </c>
      <c r="H47">
        <v>9358</v>
      </c>
      <c r="I47" t="s">
        <v>30</v>
      </c>
      <c r="J47" t="s">
        <v>22</v>
      </c>
    </row>
    <row r="48" spans="1:10" x14ac:dyDescent="0.55000000000000004">
      <c r="A48" t="s">
        <v>141</v>
      </c>
      <c r="B48" t="s">
        <v>142</v>
      </c>
      <c r="C48" t="s">
        <v>47</v>
      </c>
      <c r="D48" t="s">
        <v>71</v>
      </c>
      <c r="E48" t="s">
        <v>14</v>
      </c>
      <c r="F48">
        <v>51</v>
      </c>
      <c r="G48">
        <v>26</v>
      </c>
      <c r="H48">
        <v>16025</v>
      </c>
      <c r="I48" t="s">
        <v>30</v>
      </c>
      <c r="J48" t="s">
        <v>22</v>
      </c>
    </row>
    <row r="49" spans="1:10" x14ac:dyDescent="0.55000000000000004">
      <c r="A49" t="s">
        <v>143</v>
      </c>
      <c r="B49" t="s">
        <v>144</v>
      </c>
      <c r="C49" t="s">
        <v>55</v>
      </c>
      <c r="D49" t="s">
        <v>80</v>
      </c>
      <c r="E49" t="s">
        <v>29</v>
      </c>
      <c r="F49">
        <v>52</v>
      </c>
      <c r="G49">
        <v>17</v>
      </c>
      <c r="H49">
        <v>11105</v>
      </c>
      <c r="I49" t="s">
        <v>35</v>
      </c>
      <c r="J49" t="s">
        <v>22</v>
      </c>
    </row>
    <row r="50" spans="1:10" x14ac:dyDescent="0.55000000000000004">
      <c r="A50" t="s">
        <v>145</v>
      </c>
      <c r="B50" t="s">
        <v>146</v>
      </c>
      <c r="C50" t="s">
        <v>43</v>
      </c>
      <c r="D50" t="s">
        <v>147</v>
      </c>
      <c r="E50" t="s">
        <v>14</v>
      </c>
      <c r="F50">
        <v>53</v>
      </c>
      <c r="G50">
        <v>16</v>
      </c>
      <c r="H50">
        <v>13967</v>
      </c>
      <c r="I50" t="s">
        <v>52</v>
      </c>
      <c r="J50" t="s">
        <v>36</v>
      </c>
    </row>
    <row r="51" spans="1:10" x14ac:dyDescent="0.55000000000000004">
      <c r="A51" t="s">
        <v>148</v>
      </c>
      <c r="B51" t="s">
        <v>149</v>
      </c>
      <c r="C51" t="s">
        <v>43</v>
      </c>
      <c r="D51" t="s">
        <v>147</v>
      </c>
      <c r="E51" t="s">
        <v>29</v>
      </c>
      <c r="F51">
        <v>38</v>
      </c>
      <c r="G51">
        <v>16</v>
      </c>
      <c r="H51">
        <v>9577</v>
      </c>
      <c r="I51" t="s">
        <v>35</v>
      </c>
      <c r="J51" t="s">
        <v>40</v>
      </c>
    </row>
    <row r="52" spans="1:10" x14ac:dyDescent="0.55000000000000004">
      <c r="A52" t="s">
        <v>150</v>
      </c>
      <c r="B52" t="s">
        <v>151</v>
      </c>
      <c r="C52" t="s">
        <v>12</v>
      </c>
      <c r="D52" t="s">
        <v>13</v>
      </c>
      <c r="E52" t="s">
        <v>29</v>
      </c>
      <c r="F52">
        <v>30</v>
      </c>
      <c r="G52">
        <v>1</v>
      </c>
      <c r="H52">
        <v>7915</v>
      </c>
      <c r="I52" t="s">
        <v>90</v>
      </c>
      <c r="J52" t="s">
        <v>36</v>
      </c>
    </row>
    <row r="53" spans="1:10" x14ac:dyDescent="0.55000000000000004">
      <c r="A53" t="s">
        <v>152</v>
      </c>
      <c r="B53" t="s">
        <v>153</v>
      </c>
      <c r="C53" t="s">
        <v>12</v>
      </c>
      <c r="D53" t="s">
        <v>28</v>
      </c>
      <c r="E53" t="s">
        <v>29</v>
      </c>
      <c r="F53">
        <v>58</v>
      </c>
      <c r="G53">
        <v>17</v>
      </c>
      <c r="H53">
        <v>13555</v>
      </c>
      <c r="I53" t="s">
        <v>52</v>
      </c>
      <c r="J53" t="s">
        <v>22</v>
      </c>
    </row>
    <row r="54" spans="1:10" x14ac:dyDescent="0.55000000000000004">
      <c r="A54" t="s">
        <v>154</v>
      </c>
      <c r="B54" t="s">
        <v>155</v>
      </c>
      <c r="C54" t="s">
        <v>55</v>
      </c>
      <c r="D54" t="s">
        <v>80</v>
      </c>
      <c r="E54" t="s">
        <v>14</v>
      </c>
      <c r="F54">
        <v>24</v>
      </c>
      <c r="G54">
        <v>2</v>
      </c>
      <c r="H54">
        <v>6568</v>
      </c>
      <c r="I54" t="s">
        <v>30</v>
      </c>
      <c r="J54" t="s">
        <v>22</v>
      </c>
    </row>
    <row r="55" spans="1:10" x14ac:dyDescent="0.55000000000000004">
      <c r="A55" t="s">
        <v>156</v>
      </c>
      <c r="B55" t="s">
        <v>157</v>
      </c>
      <c r="C55" t="s">
        <v>61</v>
      </c>
      <c r="D55" t="s">
        <v>62</v>
      </c>
      <c r="E55" t="s">
        <v>29</v>
      </c>
      <c r="F55">
        <v>35</v>
      </c>
      <c r="G55">
        <v>14</v>
      </c>
      <c r="H55">
        <v>11374</v>
      </c>
      <c r="I55" t="s">
        <v>35</v>
      </c>
      <c r="J55" t="s">
        <v>16</v>
      </c>
    </row>
    <row r="56" spans="1:10" x14ac:dyDescent="0.55000000000000004">
      <c r="A56" t="s">
        <v>158</v>
      </c>
      <c r="B56" t="s">
        <v>159</v>
      </c>
      <c r="C56" t="s">
        <v>12</v>
      </c>
      <c r="D56" t="s">
        <v>25</v>
      </c>
      <c r="E56" t="s">
        <v>29</v>
      </c>
      <c r="F56">
        <v>35</v>
      </c>
      <c r="G56">
        <v>14</v>
      </c>
      <c r="H56">
        <v>12605</v>
      </c>
      <c r="I56" t="s">
        <v>52</v>
      </c>
      <c r="J56" t="s">
        <v>22</v>
      </c>
    </row>
    <row r="57" spans="1:10" x14ac:dyDescent="0.55000000000000004">
      <c r="A57" t="s">
        <v>160</v>
      </c>
      <c r="B57" t="s">
        <v>161</v>
      </c>
      <c r="C57" t="s">
        <v>33</v>
      </c>
      <c r="D57" t="s">
        <v>34</v>
      </c>
      <c r="E57" t="s">
        <v>29</v>
      </c>
      <c r="F57">
        <v>48</v>
      </c>
      <c r="G57">
        <v>7</v>
      </c>
      <c r="H57">
        <v>7142</v>
      </c>
      <c r="I57" t="s">
        <v>52</v>
      </c>
      <c r="J57" t="s">
        <v>16</v>
      </c>
    </row>
    <row r="58" spans="1:10" x14ac:dyDescent="0.55000000000000004">
      <c r="A58" t="s">
        <v>162</v>
      </c>
      <c r="B58" t="s">
        <v>163</v>
      </c>
      <c r="C58" t="s">
        <v>43</v>
      </c>
      <c r="D58" t="s">
        <v>68</v>
      </c>
      <c r="E58" t="s">
        <v>14</v>
      </c>
      <c r="F58">
        <v>29</v>
      </c>
      <c r="G58">
        <v>5</v>
      </c>
      <c r="H58">
        <v>7377</v>
      </c>
      <c r="I58" t="s">
        <v>30</v>
      </c>
      <c r="J58" t="s">
        <v>36</v>
      </c>
    </row>
    <row r="59" spans="1:10" x14ac:dyDescent="0.55000000000000004">
      <c r="A59" t="s">
        <v>164</v>
      </c>
      <c r="B59" t="s">
        <v>165</v>
      </c>
      <c r="C59" t="s">
        <v>33</v>
      </c>
      <c r="D59" t="s">
        <v>34</v>
      </c>
      <c r="E59" t="s">
        <v>14</v>
      </c>
      <c r="F59">
        <v>48</v>
      </c>
      <c r="G59">
        <v>21</v>
      </c>
      <c r="H59">
        <v>8975</v>
      </c>
      <c r="I59" t="s">
        <v>83</v>
      </c>
      <c r="J59" t="s">
        <v>40</v>
      </c>
    </row>
    <row r="60" spans="1:10" x14ac:dyDescent="0.55000000000000004">
      <c r="A60" t="s">
        <v>166</v>
      </c>
      <c r="B60" t="s">
        <v>167</v>
      </c>
      <c r="C60" t="s">
        <v>33</v>
      </c>
      <c r="D60" t="s">
        <v>77</v>
      </c>
      <c r="E60" t="s">
        <v>14</v>
      </c>
      <c r="F60">
        <v>28</v>
      </c>
      <c r="G60">
        <v>3</v>
      </c>
      <c r="H60">
        <v>5658</v>
      </c>
      <c r="I60" t="s">
        <v>21</v>
      </c>
      <c r="J60" t="s">
        <v>16</v>
      </c>
    </row>
    <row r="61" spans="1:10" x14ac:dyDescent="0.55000000000000004">
      <c r="A61" t="s">
        <v>168</v>
      </c>
      <c r="B61" t="s">
        <v>169</v>
      </c>
      <c r="C61" t="s">
        <v>43</v>
      </c>
      <c r="D61" t="s">
        <v>44</v>
      </c>
      <c r="E61" t="s">
        <v>29</v>
      </c>
      <c r="F61">
        <v>32</v>
      </c>
      <c r="G61">
        <v>6</v>
      </c>
      <c r="H61">
        <v>7555</v>
      </c>
      <c r="I61" t="s">
        <v>52</v>
      </c>
      <c r="J61" t="s">
        <v>36</v>
      </c>
    </row>
    <row r="62" spans="1:10" x14ac:dyDescent="0.55000000000000004">
      <c r="A62" t="s">
        <v>170</v>
      </c>
      <c r="B62" t="s">
        <v>171</v>
      </c>
      <c r="C62" t="s">
        <v>47</v>
      </c>
      <c r="D62" t="s">
        <v>48</v>
      </c>
      <c r="E62" t="s">
        <v>29</v>
      </c>
      <c r="F62">
        <v>38</v>
      </c>
      <c r="G62">
        <v>3</v>
      </c>
      <c r="H62">
        <v>7996</v>
      </c>
      <c r="I62" t="s">
        <v>15</v>
      </c>
      <c r="J62" t="s">
        <v>36</v>
      </c>
    </row>
    <row r="63" spans="1:10" x14ac:dyDescent="0.55000000000000004">
      <c r="A63" t="s">
        <v>172</v>
      </c>
      <c r="B63" t="s">
        <v>173</v>
      </c>
      <c r="C63" t="s">
        <v>61</v>
      </c>
      <c r="D63" t="s">
        <v>74</v>
      </c>
      <c r="E63" t="s">
        <v>29</v>
      </c>
      <c r="F63">
        <v>54</v>
      </c>
      <c r="G63">
        <v>33</v>
      </c>
      <c r="H63">
        <v>13804</v>
      </c>
      <c r="I63" t="s">
        <v>90</v>
      </c>
      <c r="J63" t="s">
        <v>22</v>
      </c>
    </row>
    <row r="64" spans="1:10" x14ac:dyDescent="0.55000000000000004">
      <c r="A64" t="s">
        <v>174</v>
      </c>
      <c r="B64" t="s">
        <v>175</v>
      </c>
      <c r="C64" t="s">
        <v>55</v>
      </c>
      <c r="D64" t="s">
        <v>56</v>
      </c>
      <c r="E64" t="s">
        <v>29</v>
      </c>
      <c r="F64">
        <v>40</v>
      </c>
      <c r="G64">
        <v>1</v>
      </c>
      <c r="H64">
        <v>5384</v>
      </c>
      <c r="I64" t="s">
        <v>35</v>
      </c>
      <c r="J64" t="s">
        <v>22</v>
      </c>
    </row>
    <row r="65" spans="1:10" x14ac:dyDescent="0.55000000000000004">
      <c r="A65" t="s">
        <v>176</v>
      </c>
      <c r="B65" t="s">
        <v>177</v>
      </c>
      <c r="C65" t="s">
        <v>55</v>
      </c>
      <c r="D65" t="s">
        <v>80</v>
      </c>
      <c r="E65" t="s">
        <v>29</v>
      </c>
      <c r="F65">
        <v>42</v>
      </c>
      <c r="G65">
        <v>18</v>
      </c>
      <c r="H65">
        <v>10710</v>
      </c>
      <c r="I65" t="s">
        <v>90</v>
      </c>
      <c r="J65" t="s">
        <v>36</v>
      </c>
    </row>
    <row r="66" spans="1:10" x14ac:dyDescent="0.55000000000000004">
      <c r="A66" t="s">
        <v>178</v>
      </c>
      <c r="B66" t="s">
        <v>179</v>
      </c>
      <c r="C66" t="s">
        <v>33</v>
      </c>
      <c r="D66" t="s">
        <v>34</v>
      </c>
      <c r="E66" t="s">
        <v>14</v>
      </c>
      <c r="F66">
        <v>22</v>
      </c>
      <c r="G66">
        <v>1</v>
      </c>
      <c r="H66">
        <v>5083</v>
      </c>
      <c r="I66" t="s">
        <v>83</v>
      </c>
      <c r="J66" t="s">
        <v>22</v>
      </c>
    </row>
    <row r="67" spans="1:10" x14ac:dyDescent="0.55000000000000004">
      <c r="A67" t="s">
        <v>180</v>
      </c>
      <c r="B67" t="s">
        <v>181</v>
      </c>
      <c r="C67" t="s">
        <v>61</v>
      </c>
      <c r="D67" t="s">
        <v>62</v>
      </c>
      <c r="E67" t="s">
        <v>29</v>
      </c>
      <c r="F67">
        <v>40</v>
      </c>
      <c r="G67">
        <v>0</v>
      </c>
      <c r="H67">
        <v>5818</v>
      </c>
      <c r="I67" t="s">
        <v>90</v>
      </c>
      <c r="J67" t="s">
        <v>22</v>
      </c>
    </row>
    <row r="68" spans="1:10" x14ac:dyDescent="0.55000000000000004">
      <c r="A68" t="s">
        <v>182</v>
      </c>
      <c r="B68" t="s">
        <v>183</v>
      </c>
      <c r="C68" t="s">
        <v>43</v>
      </c>
      <c r="D68" t="s">
        <v>44</v>
      </c>
      <c r="E68" t="s">
        <v>29</v>
      </c>
      <c r="F68">
        <v>51</v>
      </c>
      <c r="G68">
        <v>16</v>
      </c>
      <c r="H68">
        <v>10310</v>
      </c>
      <c r="I68" t="s">
        <v>83</v>
      </c>
      <c r="J68" t="s">
        <v>22</v>
      </c>
    </row>
    <row r="69" spans="1:10" x14ac:dyDescent="0.55000000000000004">
      <c r="A69" t="s">
        <v>184</v>
      </c>
      <c r="B69" t="s">
        <v>185</v>
      </c>
      <c r="C69" t="s">
        <v>19</v>
      </c>
      <c r="D69" t="s">
        <v>39</v>
      </c>
      <c r="E69" t="s">
        <v>29</v>
      </c>
      <c r="F69">
        <v>38</v>
      </c>
      <c r="G69">
        <v>5</v>
      </c>
      <c r="H69">
        <v>9603</v>
      </c>
      <c r="I69" t="s">
        <v>90</v>
      </c>
      <c r="J69" t="s">
        <v>22</v>
      </c>
    </row>
    <row r="70" spans="1:10" x14ac:dyDescent="0.55000000000000004">
      <c r="A70" t="s">
        <v>186</v>
      </c>
      <c r="B70" t="s">
        <v>187</v>
      </c>
      <c r="C70" t="s">
        <v>61</v>
      </c>
      <c r="D70" t="s">
        <v>188</v>
      </c>
      <c r="E70" t="s">
        <v>14</v>
      </c>
      <c r="F70">
        <v>58</v>
      </c>
      <c r="G70">
        <v>0</v>
      </c>
      <c r="H70">
        <v>5741</v>
      </c>
      <c r="I70" t="s">
        <v>15</v>
      </c>
      <c r="J70" t="s">
        <v>36</v>
      </c>
    </row>
    <row r="71" spans="1:10" x14ac:dyDescent="0.55000000000000004">
      <c r="A71" t="s">
        <v>189</v>
      </c>
      <c r="B71" t="s">
        <v>190</v>
      </c>
      <c r="C71" t="s">
        <v>12</v>
      </c>
      <c r="D71" t="s">
        <v>25</v>
      </c>
      <c r="E71" t="s">
        <v>29</v>
      </c>
      <c r="F71">
        <v>36</v>
      </c>
      <c r="G71">
        <v>0</v>
      </c>
      <c r="H71">
        <v>7304</v>
      </c>
      <c r="I71" t="s">
        <v>90</v>
      </c>
      <c r="J71" t="s">
        <v>40</v>
      </c>
    </row>
    <row r="72" spans="1:10" x14ac:dyDescent="0.55000000000000004">
      <c r="A72" t="s">
        <v>191</v>
      </c>
      <c r="B72" t="s">
        <v>192</v>
      </c>
      <c r="C72" t="s">
        <v>19</v>
      </c>
      <c r="D72" t="s">
        <v>20</v>
      </c>
      <c r="E72" t="s">
        <v>29</v>
      </c>
      <c r="F72">
        <v>47</v>
      </c>
      <c r="G72">
        <v>4</v>
      </c>
      <c r="H72">
        <v>9775</v>
      </c>
      <c r="I72" t="s">
        <v>83</v>
      </c>
      <c r="J72" t="s">
        <v>22</v>
      </c>
    </row>
    <row r="73" spans="1:10" x14ac:dyDescent="0.55000000000000004">
      <c r="A73" t="s">
        <v>193</v>
      </c>
      <c r="B73" t="s">
        <v>194</v>
      </c>
      <c r="C73" t="s">
        <v>43</v>
      </c>
      <c r="D73" t="s">
        <v>147</v>
      </c>
      <c r="E73" t="s">
        <v>14</v>
      </c>
      <c r="F73">
        <v>52</v>
      </c>
      <c r="G73">
        <v>17</v>
      </c>
      <c r="H73">
        <v>12305</v>
      </c>
      <c r="I73" t="s">
        <v>15</v>
      </c>
      <c r="J73" t="s">
        <v>22</v>
      </c>
    </row>
    <row r="74" spans="1:10" x14ac:dyDescent="0.55000000000000004">
      <c r="A74" t="s">
        <v>195</v>
      </c>
      <c r="B74" t="s">
        <v>196</v>
      </c>
      <c r="C74" t="s">
        <v>12</v>
      </c>
      <c r="D74" t="s">
        <v>13</v>
      </c>
      <c r="E74" t="s">
        <v>29</v>
      </c>
      <c r="F74">
        <v>53</v>
      </c>
      <c r="G74">
        <v>32</v>
      </c>
      <c r="H74">
        <v>20891</v>
      </c>
      <c r="I74" t="s">
        <v>21</v>
      </c>
      <c r="J74" t="s">
        <v>40</v>
      </c>
    </row>
    <row r="75" spans="1:10" x14ac:dyDescent="0.55000000000000004">
      <c r="A75" t="s">
        <v>197</v>
      </c>
      <c r="B75" t="s">
        <v>198</v>
      </c>
      <c r="C75" t="s">
        <v>55</v>
      </c>
      <c r="D75" t="s">
        <v>56</v>
      </c>
      <c r="E75" t="s">
        <v>14</v>
      </c>
      <c r="F75">
        <v>35</v>
      </c>
      <c r="G75">
        <v>12</v>
      </c>
      <c r="H75">
        <v>10661</v>
      </c>
      <c r="I75" t="s">
        <v>35</v>
      </c>
      <c r="J75" t="s">
        <v>40</v>
      </c>
    </row>
    <row r="76" spans="1:10" x14ac:dyDescent="0.55000000000000004">
      <c r="A76" t="s">
        <v>199</v>
      </c>
      <c r="B76" t="s">
        <v>200</v>
      </c>
      <c r="C76" t="s">
        <v>47</v>
      </c>
      <c r="D76" t="s">
        <v>71</v>
      </c>
      <c r="E76" t="s">
        <v>29</v>
      </c>
      <c r="F76">
        <v>33</v>
      </c>
      <c r="G76">
        <v>11</v>
      </c>
      <c r="H76">
        <v>8753</v>
      </c>
      <c r="I76" t="s">
        <v>30</v>
      </c>
      <c r="J76" t="s">
        <v>36</v>
      </c>
    </row>
    <row r="77" spans="1:10" x14ac:dyDescent="0.55000000000000004">
      <c r="A77" t="s">
        <v>201</v>
      </c>
      <c r="B77" t="s">
        <v>202</v>
      </c>
      <c r="C77" t="s">
        <v>61</v>
      </c>
      <c r="D77" t="s">
        <v>62</v>
      </c>
      <c r="E77" t="s">
        <v>14</v>
      </c>
      <c r="F77">
        <v>46</v>
      </c>
      <c r="G77">
        <v>5</v>
      </c>
      <c r="H77">
        <v>6847</v>
      </c>
      <c r="I77" t="s">
        <v>30</v>
      </c>
      <c r="J77" t="s">
        <v>22</v>
      </c>
    </row>
    <row r="78" spans="1:10" x14ac:dyDescent="0.55000000000000004">
      <c r="A78" t="s">
        <v>203</v>
      </c>
      <c r="B78" t="s">
        <v>204</v>
      </c>
      <c r="C78" t="s">
        <v>55</v>
      </c>
      <c r="D78" t="s">
        <v>80</v>
      </c>
      <c r="E78" t="s">
        <v>14</v>
      </c>
      <c r="F78">
        <v>24</v>
      </c>
      <c r="G78">
        <v>1</v>
      </c>
      <c r="H78">
        <v>5640</v>
      </c>
      <c r="I78" t="s">
        <v>15</v>
      </c>
      <c r="J78" t="s">
        <v>22</v>
      </c>
    </row>
    <row r="79" spans="1:10" x14ac:dyDescent="0.55000000000000004">
      <c r="A79" t="s">
        <v>205</v>
      </c>
      <c r="B79" t="s">
        <v>206</v>
      </c>
      <c r="C79" t="s">
        <v>19</v>
      </c>
      <c r="D79" t="s">
        <v>51</v>
      </c>
      <c r="E79" t="s">
        <v>14</v>
      </c>
      <c r="F79">
        <v>24</v>
      </c>
      <c r="G79">
        <v>3</v>
      </c>
      <c r="H79">
        <v>8143</v>
      </c>
      <c r="I79" t="s">
        <v>15</v>
      </c>
      <c r="J79" t="s">
        <v>40</v>
      </c>
    </row>
    <row r="80" spans="1:10" x14ac:dyDescent="0.55000000000000004">
      <c r="A80" t="s">
        <v>207</v>
      </c>
      <c r="B80" t="s">
        <v>208</v>
      </c>
      <c r="C80" t="s">
        <v>61</v>
      </c>
      <c r="D80" t="s">
        <v>62</v>
      </c>
      <c r="E80" t="s">
        <v>29</v>
      </c>
      <c r="F80">
        <v>52</v>
      </c>
      <c r="G80">
        <v>26</v>
      </c>
      <c r="H80">
        <v>16386</v>
      </c>
      <c r="I80" t="s">
        <v>83</v>
      </c>
      <c r="J80" t="s">
        <v>22</v>
      </c>
    </row>
    <row r="81" spans="1:10" x14ac:dyDescent="0.55000000000000004">
      <c r="A81" t="s">
        <v>209</v>
      </c>
      <c r="B81" t="s">
        <v>210</v>
      </c>
      <c r="C81" t="s">
        <v>61</v>
      </c>
      <c r="D81" t="s">
        <v>188</v>
      </c>
      <c r="E81" t="s">
        <v>29</v>
      </c>
      <c r="F81">
        <v>49</v>
      </c>
      <c r="G81">
        <v>11</v>
      </c>
      <c r="H81">
        <v>9501</v>
      </c>
      <c r="I81" t="s">
        <v>90</v>
      </c>
      <c r="J81" t="s">
        <v>36</v>
      </c>
    </row>
    <row r="82" spans="1:10" x14ac:dyDescent="0.55000000000000004">
      <c r="A82" t="s">
        <v>211</v>
      </c>
      <c r="B82" t="s">
        <v>212</v>
      </c>
      <c r="C82" t="s">
        <v>55</v>
      </c>
      <c r="D82" t="s">
        <v>80</v>
      </c>
      <c r="E82" t="s">
        <v>14</v>
      </c>
      <c r="F82">
        <v>28</v>
      </c>
      <c r="G82">
        <v>5</v>
      </c>
      <c r="H82">
        <v>7681</v>
      </c>
      <c r="I82" t="s">
        <v>21</v>
      </c>
      <c r="J82" t="s">
        <v>40</v>
      </c>
    </row>
    <row r="83" spans="1:10" x14ac:dyDescent="0.55000000000000004">
      <c r="A83" t="s">
        <v>213</v>
      </c>
      <c r="B83" t="s">
        <v>214</v>
      </c>
      <c r="C83" t="s">
        <v>61</v>
      </c>
      <c r="D83" t="s">
        <v>188</v>
      </c>
      <c r="E83" t="s">
        <v>29</v>
      </c>
      <c r="F83">
        <v>57</v>
      </c>
      <c r="G83">
        <v>13</v>
      </c>
      <c r="H83">
        <v>10294</v>
      </c>
      <c r="I83" t="s">
        <v>35</v>
      </c>
      <c r="J83" t="s">
        <v>22</v>
      </c>
    </row>
    <row r="84" spans="1:10" x14ac:dyDescent="0.55000000000000004">
      <c r="A84" t="s">
        <v>215</v>
      </c>
      <c r="B84" t="s">
        <v>216</v>
      </c>
      <c r="C84" t="s">
        <v>61</v>
      </c>
      <c r="D84" t="s">
        <v>62</v>
      </c>
      <c r="E84" t="s">
        <v>14</v>
      </c>
      <c r="F84">
        <v>46</v>
      </c>
      <c r="G84">
        <v>10</v>
      </c>
      <c r="H84">
        <v>9383</v>
      </c>
      <c r="I84" t="s">
        <v>21</v>
      </c>
      <c r="J84" t="s">
        <v>16</v>
      </c>
    </row>
    <row r="85" spans="1:10" x14ac:dyDescent="0.55000000000000004">
      <c r="A85" t="s">
        <v>217</v>
      </c>
      <c r="B85" t="s">
        <v>218</v>
      </c>
      <c r="C85" t="s">
        <v>55</v>
      </c>
      <c r="D85" t="s">
        <v>120</v>
      </c>
      <c r="E85" t="s">
        <v>14</v>
      </c>
      <c r="F85">
        <v>55</v>
      </c>
      <c r="G85">
        <v>15</v>
      </c>
      <c r="H85">
        <v>8610</v>
      </c>
      <c r="I85" t="s">
        <v>30</v>
      </c>
      <c r="J85" t="s">
        <v>36</v>
      </c>
    </row>
    <row r="86" spans="1:10" x14ac:dyDescent="0.55000000000000004">
      <c r="A86" t="s">
        <v>219</v>
      </c>
      <c r="B86" t="s">
        <v>220</v>
      </c>
      <c r="C86" t="s">
        <v>19</v>
      </c>
      <c r="D86" t="s">
        <v>51</v>
      </c>
      <c r="E86" t="s">
        <v>29</v>
      </c>
      <c r="F86">
        <v>41</v>
      </c>
      <c r="G86">
        <v>15</v>
      </c>
      <c r="H86">
        <v>14076</v>
      </c>
      <c r="I86" t="s">
        <v>83</v>
      </c>
      <c r="J86" t="s">
        <v>22</v>
      </c>
    </row>
    <row r="87" spans="1:10" x14ac:dyDescent="0.55000000000000004">
      <c r="A87" t="s">
        <v>221</v>
      </c>
      <c r="B87" t="s">
        <v>222</v>
      </c>
      <c r="C87" t="s">
        <v>55</v>
      </c>
      <c r="D87" t="s">
        <v>56</v>
      </c>
      <c r="E87" t="s">
        <v>29</v>
      </c>
      <c r="F87">
        <v>48</v>
      </c>
      <c r="G87">
        <v>2</v>
      </c>
      <c r="H87">
        <v>6633</v>
      </c>
      <c r="I87" t="s">
        <v>90</v>
      </c>
      <c r="J87" t="s">
        <v>40</v>
      </c>
    </row>
    <row r="88" spans="1:10" x14ac:dyDescent="0.55000000000000004">
      <c r="A88" t="s">
        <v>223</v>
      </c>
      <c r="B88" t="s">
        <v>224</v>
      </c>
      <c r="C88" t="s">
        <v>47</v>
      </c>
      <c r="D88" t="s">
        <v>71</v>
      </c>
      <c r="E88" t="s">
        <v>14</v>
      </c>
      <c r="F88">
        <v>26</v>
      </c>
      <c r="G88">
        <v>2</v>
      </c>
      <c r="H88">
        <v>6397</v>
      </c>
      <c r="I88" t="s">
        <v>52</v>
      </c>
      <c r="J88" t="s">
        <v>40</v>
      </c>
    </row>
    <row r="89" spans="1:10" x14ac:dyDescent="0.55000000000000004">
      <c r="A89" t="s">
        <v>225</v>
      </c>
      <c r="B89" t="s">
        <v>226</v>
      </c>
      <c r="C89" t="s">
        <v>33</v>
      </c>
      <c r="D89" t="s">
        <v>77</v>
      </c>
      <c r="E89" t="s">
        <v>29</v>
      </c>
      <c r="F89">
        <v>37</v>
      </c>
      <c r="G89">
        <v>4</v>
      </c>
      <c r="H89">
        <v>7072</v>
      </c>
      <c r="I89" t="s">
        <v>52</v>
      </c>
      <c r="J89" t="s">
        <v>16</v>
      </c>
    </row>
    <row r="90" spans="1:10" x14ac:dyDescent="0.55000000000000004">
      <c r="A90" t="s">
        <v>227</v>
      </c>
      <c r="B90" t="s">
        <v>228</v>
      </c>
      <c r="C90" t="s">
        <v>12</v>
      </c>
      <c r="D90" t="s">
        <v>28</v>
      </c>
      <c r="E90" t="s">
        <v>29</v>
      </c>
      <c r="F90">
        <v>55</v>
      </c>
      <c r="G90">
        <v>3</v>
      </c>
      <c r="H90">
        <v>9389</v>
      </c>
      <c r="I90" t="s">
        <v>21</v>
      </c>
      <c r="J90" t="s">
        <v>36</v>
      </c>
    </row>
    <row r="91" spans="1:10" x14ac:dyDescent="0.55000000000000004">
      <c r="A91" t="s">
        <v>229</v>
      </c>
      <c r="B91" t="s">
        <v>230</v>
      </c>
      <c r="C91" t="s">
        <v>43</v>
      </c>
      <c r="D91" t="s">
        <v>147</v>
      </c>
      <c r="E91" t="s">
        <v>14</v>
      </c>
      <c r="F91">
        <v>45</v>
      </c>
      <c r="G91">
        <v>8</v>
      </c>
      <c r="H91">
        <v>7987</v>
      </c>
      <c r="I91" t="s">
        <v>83</v>
      </c>
      <c r="J91" t="s">
        <v>22</v>
      </c>
    </row>
    <row r="92" spans="1:10" x14ac:dyDescent="0.55000000000000004">
      <c r="A92" t="s">
        <v>231</v>
      </c>
      <c r="B92" t="s">
        <v>232</v>
      </c>
      <c r="C92" t="s">
        <v>55</v>
      </c>
      <c r="D92" t="s">
        <v>80</v>
      </c>
      <c r="E92" t="s">
        <v>29</v>
      </c>
      <c r="F92">
        <v>56</v>
      </c>
      <c r="G92">
        <v>6</v>
      </c>
      <c r="H92">
        <v>7079</v>
      </c>
      <c r="I92" t="s">
        <v>35</v>
      </c>
      <c r="J92" t="s">
        <v>16</v>
      </c>
    </row>
    <row r="93" spans="1:10" x14ac:dyDescent="0.55000000000000004">
      <c r="A93" t="s">
        <v>233</v>
      </c>
      <c r="B93" t="s">
        <v>234</v>
      </c>
      <c r="C93" t="s">
        <v>19</v>
      </c>
      <c r="D93" t="s">
        <v>39</v>
      </c>
      <c r="E93" t="s">
        <v>29</v>
      </c>
      <c r="F93">
        <v>39</v>
      </c>
      <c r="G93">
        <v>12</v>
      </c>
      <c r="H93">
        <v>11885</v>
      </c>
      <c r="I93" t="s">
        <v>21</v>
      </c>
      <c r="J93" t="s">
        <v>22</v>
      </c>
    </row>
    <row r="94" spans="1:10" x14ac:dyDescent="0.55000000000000004">
      <c r="A94" t="s">
        <v>235</v>
      </c>
      <c r="B94" t="s">
        <v>236</v>
      </c>
      <c r="C94" t="s">
        <v>43</v>
      </c>
      <c r="D94" t="s">
        <v>147</v>
      </c>
      <c r="E94" t="s">
        <v>14</v>
      </c>
      <c r="F94">
        <v>42</v>
      </c>
      <c r="G94">
        <v>21</v>
      </c>
      <c r="H94">
        <v>11657</v>
      </c>
      <c r="I94" t="s">
        <v>21</v>
      </c>
      <c r="J94" t="s">
        <v>40</v>
      </c>
    </row>
    <row r="95" spans="1:10" x14ac:dyDescent="0.55000000000000004">
      <c r="A95" t="s">
        <v>237</v>
      </c>
      <c r="B95" t="s">
        <v>238</v>
      </c>
      <c r="C95" t="s">
        <v>12</v>
      </c>
      <c r="D95" t="s">
        <v>25</v>
      </c>
      <c r="E95" t="s">
        <v>14</v>
      </c>
      <c r="F95">
        <v>59</v>
      </c>
      <c r="G95">
        <v>16</v>
      </c>
      <c r="H95">
        <v>13237</v>
      </c>
      <c r="I95" t="s">
        <v>15</v>
      </c>
      <c r="J95" t="s">
        <v>16</v>
      </c>
    </row>
    <row r="96" spans="1:10" x14ac:dyDescent="0.55000000000000004">
      <c r="A96" t="s">
        <v>239</v>
      </c>
      <c r="B96" t="s">
        <v>240</v>
      </c>
      <c r="C96" t="s">
        <v>33</v>
      </c>
      <c r="D96" t="s">
        <v>34</v>
      </c>
      <c r="E96" t="s">
        <v>29</v>
      </c>
      <c r="F96">
        <v>37</v>
      </c>
      <c r="G96">
        <v>10</v>
      </c>
      <c r="H96">
        <v>7000</v>
      </c>
      <c r="I96" t="s">
        <v>83</v>
      </c>
      <c r="J96" t="s">
        <v>22</v>
      </c>
    </row>
    <row r="97" spans="1:10" x14ac:dyDescent="0.55000000000000004">
      <c r="A97" t="s">
        <v>241</v>
      </c>
      <c r="B97" t="s">
        <v>242</v>
      </c>
      <c r="C97" t="s">
        <v>33</v>
      </c>
      <c r="D97" t="s">
        <v>77</v>
      </c>
      <c r="E97" t="s">
        <v>14</v>
      </c>
      <c r="F97">
        <v>23</v>
      </c>
      <c r="G97">
        <v>1</v>
      </c>
      <c r="H97">
        <v>5491</v>
      </c>
      <c r="I97" t="s">
        <v>30</v>
      </c>
      <c r="J97" t="s">
        <v>40</v>
      </c>
    </row>
    <row r="98" spans="1:10" x14ac:dyDescent="0.55000000000000004">
      <c r="A98" t="s">
        <v>243</v>
      </c>
      <c r="B98" t="s">
        <v>244</v>
      </c>
      <c r="C98" t="s">
        <v>43</v>
      </c>
      <c r="D98" t="s">
        <v>68</v>
      </c>
      <c r="E98" t="s">
        <v>29</v>
      </c>
      <c r="F98">
        <v>50</v>
      </c>
      <c r="G98">
        <v>4</v>
      </c>
      <c r="H98">
        <v>7097</v>
      </c>
      <c r="I98" t="s">
        <v>35</v>
      </c>
      <c r="J98" t="s">
        <v>22</v>
      </c>
    </row>
    <row r="99" spans="1:10" x14ac:dyDescent="0.55000000000000004">
      <c r="A99" t="s">
        <v>245</v>
      </c>
      <c r="B99" t="s">
        <v>246</v>
      </c>
      <c r="C99" t="s">
        <v>12</v>
      </c>
      <c r="D99" t="s">
        <v>25</v>
      </c>
      <c r="E99" t="s">
        <v>29</v>
      </c>
      <c r="F99">
        <v>42</v>
      </c>
      <c r="G99">
        <v>12</v>
      </c>
      <c r="H99">
        <v>9448</v>
      </c>
      <c r="I99" t="s">
        <v>90</v>
      </c>
      <c r="J99" t="s">
        <v>22</v>
      </c>
    </row>
    <row r="100" spans="1:10" x14ac:dyDescent="0.55000000000000004">
      <c r="A100" t="s">
        <v>247</v>
      </c>
      <c r="B100" t="s">
        <v>248</v>
      </c>
      <c r="C100" t="s">
        <v>55</v>
      </c>
      <c r="D100" t="s">
        <v>56</v>
      </c>
      <c r="E100" t="s">
        <v>29</v>
      </c>
      <c r="F100">
        <v>48</v>
      </c>
      <c r="G100">
        <v>24</v>
      </c>
      <c r="H100">
        <v>14966</v>
      </c>
      <c r="I100" t="s">
        <v>35</v>
      </c>
      <c r="J100" t="s">
        <v>40</v>
      </c>
    </row>
    <row r="101" spans="1:10" x14ac:dyDescent="0.55000000000000004">
      <c r="A101" t="s">
        <v>249</v>
      </c>
      <c r="B101" t="s">
        <v>250</v>
      </c>
      <c r="C101" t="s">
        <v>61</v>
      </c>
      <c r="D101" t="s">
        <v>188</v>
      </c>
      <c r="E101" t="s">
        <v>29</v>
      </c>
      <c r="F101">
        <v>43</v>
      </c>
      <c r="G101">
        <v>0</v>
      </c>
      <c r="H101">
        <v>6121</v>
      </c>
      <c r="I101" t="s">
        <v>83</v>
      </c>
      <c r="J101" t="s">
        <v>22</v>
      </c>
    </row>
    <row r="102" spans="1:10" x14ac:dyDescent="0.55000000000000004">
      <c r="A102" t="s">
        <v>251</v>
      </c>
      <c r="B102" t="s">
        <v>252</v>
      </c>
      <c r="C102" t="s">
        <v>55</v>
      </c>
      <c r="D102" t="s">
        <v>120</v>
      </c>
      <c r="E102" t="s">
        <v>29</v>
      </c>
      <c r="F102">
        <v>60</v>
      </c>
      <c r="G102">
        <v>8</v>
      </c>
      <c r="H102">
        <v>8039</v>
      </c>
      <c r="I102" t="s">
        <v>30</v>
      </c>
      <c r="J102" t="s">
        <v>22</v>
      </c>
    </row>
    <row r="103" spans="1:10" x14ac:dyDescent="0.55000000000000004">
      <c r="A103" t="s">
        <v>253</v>
      </c>
      <c r="B103" t="s">
        <v>254</v>
      </c>
      <c r="C103" t="s">
        <v>19</v>
      </c>
      <c r="D103" t="s">
        <v>51</v>
      </c>
      <c r="E103" t="s">
        <v>14</v>
      </c>
      <c r="F103">
        <v>55</v>
      </c>
      <c r="G103">
        <v>21</v>
      </c>
      <c r="H103">
        <v>17580</v>
      </c>
      <c r="I103" t="s">
        <v>90</v>
      </c>
      <c r="J103" t="s">
        <v>16</v>
      </c>
    </row>
    <row r="104" spans="1:10" x14ac:dyDescent="0.55000000000000004">
      <c r="A104" t="s">
        <v>255</v>
      </c>
      <c r="B104" t="s">
        <v>256</v>
      </c>
      <c r="C104" t="s">
        <v>12</v>
      </c>
      <c r="D104" t="s">
        <v>28</v>
      </c>
      <c r="E104" t="s">
        <v>29</v>
      </c>
      <c r="F104">
        <v>47</v>
      </c>
      <c r="G104">
        <v>20</v>
      </c>
      <c r="H104">
        <v>14416</v>
      </c>
      <c r="I104" t="s">
        <v>15</v>
      </c>
      <c r="J104" t="s">
        <v>22</v>
      </c>
    </row>
    <row r="105" spans="1:10" x14ac:dyDescent="0.55000000000000004">
      <c r="A105" t="s">
        <v>257</v>
      </c>
      <c r="B105" t="s">
        <v>258</v>
      </c>
      <c r="C105" t="s">
        <v>47</v>
      </c>
      <c r="D105" t="s">
        <v>65</v>
      </c>
      <c r="E105" t="s">
        <v>29</v>
      </c>
      <c r="F105">
        <v>38</v>
      </c>
      <c r="G105">
        <v>14</v>
      </c>
      <c r="H105">
        <v>9776</v>
      </c>
      <c r="I105" t="s">
        <v>83</v>
      </c>
      <c r="J105" t="s">
        <v>36</v>
      </c>
    </row>
    <row r="106" spans="1:10" x14ac:dyDescent="0.55000000000000004">
      <c r="A106" t="s">
        <v>259</v>
      </c>
      <c r="B106" t="s">
        <v>260</v>
      </c>
      <c r="C106" t="s">
        <v>55</v>
      </c>
      <c r="D106" t="s">
        <v>80</v>
      </c>
      <c r="E106" t="s">
        <v>29</v>
      </c>
      <c r="F106">
        <v>48</v>
      </c>
      <c r="G106">
        <v>6</v>
      </c>
      <c r="H106">
        <v>6176</v>
      </c>
      <c r="I106" t="s">
        <v>90</v>
      </c>
      <c r="J106" t="s">
        <v>22</v>
      </c>
    </row>
    <row r="107" spans="1:10" x14ac:dyDescent="0.55000000000000004">
      <c r="A107" t="s">
        <v>261</v>
      </c>
      <c r="B107" t="s">
        <v>262</v>
      </c>
      <c r="C107" t="s">
        <v>33</v>
      </c>
      <c r="D107" t="s">
        <v>93</v>
      </c>
      <c r="E107" t="s">
        <v>14</v>
      </c>
      <c r="F107">
        <v>27</v>
      </c>
      <c r="G107">
        <v>3</v>
      </c>
      <c r="H107">
        <v>5446</v>
      </c>
      <c r="I107" t="s">
        <v>35</v>
      </c>
      <c r="J107" t="s">
        <v>36</v>
      </c>
    </row>
    <row r="108" spans="1:10" x14ac:dyDescent="0.55000000000000004">
      <c r="A108" t="s">
        <v>263</v>
      </c>
      <c r="B108" t="s">
        <v>264</v>
      </c>
      <c r="C108" t="s">
        <v>12</v>
      </c>
      <c r="D108" t="s">
        <v>13</v>
      </c>
      <c r="E108" t="s">
        <v>14</v>
      </c>
      <c r="F108">
        <v>38</v>
      </c>
      <c r="G108">
        <v>1</v>
      </c>
      <c r="H108">
        <v>6973</v>
      </c>
      <c r="I108" t="s">
        <v>15</v>
      </c>
      <c r="J108" t="s">
        <v>22</v>
      </c>
    </row>
    <row r="109" spans="1:10" x14ac:dyDescent="0.55000000000000004">
      <c r="A109" t="s">
        <v>265</v>
      </c>
      <c r="B109" t="s">
        <v>266</v>
      </c>
      <c r="C109" t="s">
        <v>61</v>
      </c>
      <c r="D109" t="s">
        <v>62</v>
      </c>
      <c r="E109" t="s">
        <v>14</v>
      </c>
      <c r="F109">
        <v>60</v>
      </c>
      <c r="G109">
        <v>19</v>
      </c>
      <c r="H109">
        <v>13252</v>
      </c>
      <c r="I109" t="s">
        <v>35</v>
      </c>
      <c r="J109" t="s">
        <v>22</v>
      </c>
    </row>
    <row r="110" spans="1:10" x14ac:dyDescent="0.55000000000000004">
      <c r="A110" t="s">
        <v>267</v>
      </c>
      <c r="B110" t="s">
        <v>268</v>
      </c>
      <c r="C110" t="s">
        <v>55</v>
      </c>
      <c r="D110" t="s">
        <v>56</v>
      </c>
      <c r="E110" t="s">
        <v>14</v>
      </c>
      <c r="F110">
        <v>37</v>
      </c>
      <c r="G110">
        <v>2</v>
      </c>
      <c r="H110">
        <v>6453</v>
      </c>
      <c r="I110" t="s">
        <v>90</v>
      </c>
      <c r="J110" t="s">
        <v>40</v>
      </c>
    </row>
    <row r="111" spans="1:10" x14ac:dyDescent="0.55000000000000004">
      <c r="A111" t="s">
        <v>269</v>
      </c>
      <c r="B111" t="s">
        <v>270</v>
      </c>
      <c r="C111" t="s">
        <v>55</v>
      </c>
      <c r="D111" t="s">
        <v>120</v>
      </c>
      <c r="E111" t="s">
        <v>14</v>
      </c>
      <c r="F111">
        <v>34</v>
      </c>
      <c r="G111">
        <v>10</v>
      </c>
      <c r="H111">
        <v>9533</v>
      </c>
      <c r="I111" t="s">
        <v>83</v>
      </c>
      <c r="J111" t="s">
        <v>40</v>
      </c>
    </row>
    <row r="112" spans="1:10" x14ac:dyDescent="0.55000000000000004">
      <c r="A112" t="s">
        <v>271</v>
      </c>
      <c r="B112" t="s">
        <v>272</v>
      </c>
      <c r="C112" t="s">
        <v>47</v>
      </c>
      <c r="D112" t="s">
        <v>65</v>
      </c>
      <c r="E112" t="s">
        <v>14</v>
      </c>
      <c r="F112">
        <v>48</v>
      </c>
      <c r="G112">
        <v>22</v>
      </c>
      <c r="H112">
        <v>11359</v>
      </c>
      <c r="I112" t="s">
        <v>35</v>
      </c>
      <c r="J112" t="s">
        <v>22</v>
      </c>
    </row>
    <row r="113" spans="1:10" x14ac:dyDescent="0.55000000000000004">
      <c r="A113" t="s">
        <v>273</v>
      </c>
      <c r="B113" t="s">
        <v>274</v>
      </c>
      <c r="C113" t="s">
        <v>19</v>
      </c>
      <c r="D113" t="s">
        <v>51</v>
      </c>
      <c r="E113" t="s">
        <v>14</v>
      </c>
      <c r="F113">
        <v>25</v>
      </c>
      <c r="G113">
        <v>3</v>
      </c>
      <c r="H113">
        <v>8221</v>
      </c>
      <c r="I113" t="s">
        <v>83</v>
      </c>
      <c r="J113" t="s">
        <v>22</v>
      </c>
    </row>
    <row r="114" spans="1:10" x14ac:dyDescent="0.55000000000000004">
      <c r="A114" t="s">
        <v>275</v>
      </c>
      <c r="B114" t="s">
        <v>276</v>
      </c>
      <c r="C114" t="s">
        <v>43</v>
      </c>
      <c r="D114" t="s">
        <v>147</v>
      </c>
      <c r="E114" t="s">
        <v>29</v>
      </c>
      <c r="F114">
        <v>28</v>
      </c>
      <c r="G114">
        <v>1</v>
      </c>
      <c r="H114">
        <v>6685</v>
      </c>
      <c r="I114" t="s">
        <v>83</v>
      </c>
      <c r="J114" t="s">
        <v>40</v>
      </c>
    </row>
    <row r="115" spans="1:10" x14ac:dyDescent="0.55000000000000004">
      <c r="A115" t="s">
        <v>277</v>
      </c>
      <c r="B115" t="s">
        <v>278</v>
      </c>
      <c r="C115" t="s">
        <v>55</v>
      </c>
      <c r="D115" t="s">
        <v>56</v>
      </c>
      <c r="E115" t="s">
        <v>14</v>
      </c>
      <c r="F115">
        <v>22</v>
      </c>
      <c r="G115">
        <v>0</v>
      </c>
      <c r="H115">
        <v>6054</v>
      </c>
      <c r="I115" t="s">
        <v>90</v>
      </c>
      <c r="J115" t="s">
        <v>36</v>
      </c>
    </row>
    <row r="116" spans="1:10" x14ac:dyDescent="0.55000000000000004">
      <c r="A116" t="s">
        <v>279</v>
      </c>
      <c r="B116" t="s">
        <v>280</v>
      </c>
      <c r="C116" t="s">
        <v>43</v>
      </c>
      <c r="D116" t="s">
        <v>68</v>
      </c>
      <c r="E116" t="s">
        <v>14</v>
      </c>
      <c r="F116">
        <v>25</v>
      </c>
      <c r="G116">
        <v>3</v>
      </c>
      <c r="H116">
        <v>6987</v>
      </c>
      <c r="I116" t="s">
        <v>21</v>
      </c>
      <c r="J116" t="s">
        <v>22</v>
      </c>
    </row>
    <row r="117" spans="1:10" x14ac:dyDescent="0.55000000000000004">
      <c r="A117" t="s">
        <v>281</v>
      </c>
      <c r="B117" t="s">
        <v>282</v>
      </c>
      <c r="C117" t="s">
        <v>47</v>
      </c>
      <c r="D117" t="s">
        <v>48</v>
      </c>
      <c r="E117" t="s">
        <v>29</v>
      </c>
      <c r="F117">
        <v>22</v>
      </c>
      <c r="G117">
        <v>0</v>
      </c>
      <c r="H117">
        <v>5103</v>
      </c>
      <c r="I117" t="s">
        <v>30</v>
      </c>
      <c r="J117" t="s">
        <v>22</v>
      </c>
    </row>
    <row r="118" spans="1:10" x14ac:dyDescent="0.55000000000000004">
      <c r="A118" t="s">
        <v>283</v>
      </c>
      <c r="B118" t="s">
        <v>284</v>
      </c>
      <c r="C118" t="s">
        <v>55</v>
      </c>
      <c r="D118" t="s">
        <v>56</v>
      </c>
      <c r="E118" t="s">
        <v>29</v>
      </c>
      <c r="F118">
        <v>55</v>
      </c>
      <c r="G118">
        <v>30</v>
      </c>
      <c r="H118">
        <v>16458</v>
      </c>
      <c r="I118" t="s">
        <v>35</v>
      </c>
      <c r="J118" t="s">
        <v>22</v>
      </c>
    </row>
    <row r="119" spans="1:10" x14ac:dyDescent="0.55000000000000004">
      <c r="A119" t="s">
        <v>285</v>
      </c>
      <c r="B119" t="s">
        <v>286</v>
      </c>
      <c r="C119" t="s">
        <v>19</v>
      </c>
      <c r="D119" t="s">
        <v>51</v>
      </c>
      <c r="E119" t="s">
        <v>29</v>
      </c>
      <c r="F119">
        <v>59</v>
      </c>
      <c r="G119">
        <v>16</v>
      </c>
      <c r="H119">
        <v>15433</v>
      </c>
      <c r="I119" t="s">
        <v>21</v>
      </c>
      <c r="J119" t="s">
        <v>40</v>
      </c>
    </row>
    <row r="120" spans="1:10" x14ac:dyDescent="0.55000000000000004">
      <c r="A120" t="s">
        <v>287</v>
      </c>
      <c r="B120" t="s">
        <v>288</v>
      </c>
      <c r="C120" t="s">
        <v>12</v>
      </c>
      <c r="D120" t="s">
        <v>13</v>
      </c>
      <c r="E120" t="s">
        <v>14</v>
      </c>
      <c r="F120">
        <v>58</v>
      </c>
      <c r="G120">
        <v>20</v>
      </c>
      <c r="H120">
        <v>13604</v>
      </c>
      <c r="I120" t="s">
        <v>83</v>
      </c>
      <c r="J120" t="s">
        <v>40</v>
      </c>
    </row>
    <row r="121" spans="1:10" x14ac:dyDescent="0.55000000000000004">
      <c r="A121" t="s">
        <v>289</v>
      </c>
      <c r="B121" t="s">
        <v>290</v>
      </c>
      <c r="C121" t="s">
        <v>55</v>
      </c>
      <c r="D121" t="s">
        <v>80</v>
      </c>
      <c r="E121" t="s">
        <v>14</v>
      </c>
      <c r="F121">
        <v>54</v>
      </c>
      <c r="G121">
        <v>13</v>
      </c>
      <c r="H121">
        <v>10024</v>
      </c>
      <c r="I121" t="s">
        <v>90</v>
      </c>
      <c r="J121" t="s">
        <v>22</v>
      </c>
    </row>
    <row r="122" spans="1:10" x14ac:dyDescent="0.55000000000000004">
      <c r="A122" t="s">
        <v>291</v>
      </c>
      <c r="B122" t="s">
        <v>292</v>
      </c>
      <c r="C122" t="s">
        <v>33</v>
      </c>
      <c r="D122" t="s">
        <v>77</v>
      </c>
      <c r="E122" t="s">
        <v>29</v>
      </c>
      <c r="F122">
        <v>47</v>
      </c>
      <c r="G122">
        <v>11</v>
      </c>
      <c r="H122">
        <v>10056</v>
      </c>
      <c r="I122" t="s">
        <v>21</v>
      </c>
      <c r="J122" t="s">
        <v>22</v>
      </c>
    </row>
    <row r="123" spans="1:10" x14ac:dyDescent="0.55000000000000004">
      <c r="A123" t="s">
        <v>293</v>
      </c>
      <c r="B123" t="s">
        <v>294</v>
      </c>
      <c r="C123" t="s">
        <v>61</v>
      </c>
      <c r="D123" t="s">
        <v>62</v>
      </c>
      <c r="E123" t="s">
        <v>29</v>
      </c>
      <c r="F123">
        <v>42</v>
      </c>
      <c r="G123">
        <v>1</v>
      </c>
      <c r="H123">
        <v>6587</v>
      </c>
      <c r="I123" t="s">
        <v>21</v>
      </c>
      <c r="J123" t="s">
        <v>36</v>
      </c>
    </row>
    <row r="124" spans="1:10" x14ac:dyDescent="0.55000000000000004">
      <c r="A124" t="s">
        <v>295</v>
      </c>
      <c r="B124" t="s">
        <v>296</v>
      </c>
      <c r="C124" t="s">
        <v>12</v>
      </c>
      <c r="D124" t="s">
        <v>25</v>
      </c>
      <c r="E124" t="s">
        <v>29</v>
      </c>
      <c r="F124">
        <v>58</v>
      </c>
      <c r="G124">
        <v>31</v>
      </c>
      <c r="H124">
        <v>18024</v>
      </c>
      <c r="I124" t="s">
        <v>21</v>
      </c>
      <c r="J124" t="s">
        <v>22</v>
      </c>
    </row>
    <row r="125" spans="1:10" x14ac:dyDescent="0.55000000000000004">
      <c r="A125" t="s">
        <v>297</v>
      </c>
      <c r="B125" t="s">
        <v>298</v>
      </c>
      <c r="C125" t="s">
        <v>43</v>
      </c>
      <c r="D125" t="s">
        <v>44</v>
      </c>
      <c r="E125" t="s">
        <v>29</v>
      </c>
      <c r="F125">
        <v>41</v>
      </c>
      <c r="G125">
        <v>17</v>
      </c>
      <c r="H125">
        <v>9758</v>
      </c>
      <c r="I125" t="s">
        <v>30</v>
      </c>
      <c r="J125" t="s">
        <v>16</v>
      </c>
    </row>
    <row r="126" spans="1:10" x14ac:dyDescent="0.55000000000000004">
      <c r="A126" t="s">
        <v>299</v>
      </c>
      <c r="B126" t="s">
        <v>300</v>
      </c>
      <c r="C126" t="s">
        <v>33</v>
      </c>
      <c r="D126" t="s">
        <v>34</v>
      </c>
      <c r="E126" t="s">
        <v>29</v>
      </c>
      <c r="F126">
        <v>25</v>
      </c>
      <c r="G126">
        <v>1</v>
      </c>
      <c r="H126">
        <v>5638</v>
      </c>
      <c r="I126" t="s">
        <v>52</v>
      </c>
      <c r="J126" t="s">
        <v>36</v>
      </c>
    </row>
    <row r="127" spans="1:10" x14ac:dyDescent="0.55000000000000004">
      <c r="A127" t="s">
        <v>301</v>
      </c>
      <c r="B127" t="s">
        <v>302</v>
      </c>
      <c r="C127" t="s">
        <v>19</v>
      </c>
      <c r="D127" t="s">
        <v>51</v>
      </c>
      <c r="E127" t="s">
        <v>29</v>
      </c>
      <c r="F127">
        <v>53</v>
      </c>
      <c r="G127">
        <v>16</v>
      </c>
      <c r="H127">
        <v>14378</v>
      </c>
      <c r="I127" t="s">
        <v>35</v>
      </c>
      <c r="J127" t="s">
        <v>36</v>
      </c>
    </row>
    <row r="128" spans="1:10" x14ac:dyDescent="0.55000000000000004">
      <c r="A128" t="s">
        <v>303</v>
      </c>
      <c r="B128" t="s">
        <v>304</v>
      </c>
      <c r="C128" t="s">
        <v>19</v>
      </c>
      <c r="D128" t="s">
        <v>51</v>
      </c>
      <c r="E128" t="s">
        <v>14</v>
      </c>
      <c r="F128">
        <v>45</v>
      </c>
      <c r="G128">
        <v>15</v>
      </c>
      <c r="H128">
        <v>11005</v>
      </c>
      <c r="I128" t="s">
        <v>52</v>
      </c>
      <c r="J128" t="s">
        <v>22</v>
      </c>
    </row>
    <row r="129" spans="1:10" x14ac:dyDescent="0.55000000000000004">
      <c r="A129" t="s">
        <v>305</v>
      </c>
      <c r="B129" t="s">
        <v>306</v>
      </c>
      <c r="C129" t="s">
        <v>47</v>
      </c>
      <c r="D129" t="s">
        <v>48</v>
      </c>
      <c r="E129" t="s">
        <v>14</v>
      </c>
      <c r="F129">
        <v>48</v>
      </c>
      <c r="G129">
        <v>17</v>
      </c>
      <c r="H129">
        <v>13590</v>
      </c>
      <c r="I129" t="s">
        <v>30</v>
      </c>
      <c r="J129" t="s">
        <v>22</v>
      </c>
    </row>
    <row r="130" spans="1:10" x14ac:dyDescent="0.55000000000000004">
      <c r="A130" t="s">
        <v>307</v>
      </c>
      <c r="B130" t="s">
        <v>308</v>
      </c>
      <c r="C130" t="s">
        <v>43</v>
      </c>
      <c r="D130" t="s">
        <v>68</v>
      </c>
      <c r="E130" t="s">
        <v>29</v>
      </c>
      <c r="F130">
        <v>34</v>
      </c>
      <c r="G130">
        <v>12</v>
      </c>
      <c r="H130">
        <v>12466</v>
      </c>
      <c r="I130" t="s">
        <v>15</v>
      </c>
      <c r="J130" t="s">
        <v>22</v>
      </c>
    </row>
    <row r="131" spans="1:10" x14ac:dyDescent="0.55000000000000004">
      <c r="A131" t="s">
        <v>309</v>
      </c>
      <c r="B131" t="s">
        <v>310</v>
      </c>
      <c r="C131" t="s">
        <v>55</v>
      </c>
      <c r="D131" t="s">
        <v>56</v>
      </c>
      <c r="E131" t="s">
        <v>29</v>
      </c>
      <c r="F131">
        <v>56</v>
      </c>
      <c r="G131">
        <v>7</v>
      </c>
      <c r="H131">
        <v>8836</v>
      </c>
      <c r="I131" t="s">
        <v>90</v>
      </c>
      <c r="J131" t="s">
        <v>22</v>
      </c>
    </row>
    <row r="132" spans="1:10" x14ac:dyDescent="0.55000000000000004">
      <c r="A132" t="s">
        <v>311</v>
      </c>
      <c r="B132" t="s">
        <v>312</v>
      </c>
      <c r="C132" t="s">
        <v>55</v>
      </c>
      <c r="D132" t="s">
        <v>80</v>
      </c>
      <c r="E132" t="s">
        <v>29</v>
      </c>
      <c r="F132">
        <v>32</v>
      </c>
      <c r="G132">
        <v>11</v>
      </c>
      <c r="H132">
        <v>9423</v>
      </c>
      <c r="I132" t="s">
        <v>90</v>
      </c>
      <c r="J132" t="s">
        <v>40</v>
      </c>
    </row>
    <row r="133" spans="1:10" x14ac:dyDescent="0.55000000000000004">
      <c r="A133" t="s">
        <v>313</v>
      </c>
      <c r="B133" t="s">
        <v>314</v>
      </c>
      <c r="C133" t="s">
        <v>61</v>
      </c>
      <c r="D133" t="s">
        <v>62</v>
      </c>
      <c r="E133" t="s">
        <v>14</v>
      </c>
      <c r="F133">
        <v>31</v>
      </c>
      <c r="G133">
        <v>8</v>
      </c>
      <c r="H133">
        <v>7925</v>
      </c>
      <c r="I133" t="s">
        <v>30</v>
      </c>
      <c r="J133" t="s">
        <v>40</v>
      </c>
    </row>
    <row r="134" spans="1:10" x14ac:dyDescent="0.55000000000000004">
      <c r="A134" t="s">
        <v>315</v>
      </c>
      <c r="B134" t="s">
        <v>316</v>
      </c>
      <c r="C134" t="s">
        <v>12</v>
      </c>
      <c r="D134" t="s">
        <v>28</v>
      </c>
      <c r="E134" t="s">
        <v>14</v>
      </c>
      <c r="F134">
        <v>25</v>
      </c>
      <c r="G134">
        <v>3</v>
      </c>
      <c r="H134">
        <v>7926</v>
      </c>
      <c r="I134" t="s">
        <v>21</v>
      </c>
      <c r="J134" t="s">
        <v>36</v>
      </c>
    </row>
    <row r="135" spans="1:10" x14ac:dyDescent="0.55000000000000004">
      <c r="A135" t="s">
        <v>317</v>
      </c>
      <c r="B135" t="s">
        <v>318</v>
      </c>
      <c r="C135" t="s">
        <v>61</v>
      </c>
      <c r="D135" t="s">
        <v>62</v>
      </c>
      <c r="E135" t="s">
        <v>29</v>
      </c>
      <c r="F135">
        <v>54</v>
      </c>
      <c r="G135">
        <v>20</v>
      </c>
      <c r="H135">
        <v>9390</v>
      </c>
      <c r="I135" t="s">
        <v>30</v>
      </c>
      <c r="J135" t="s">
        <v>36</v>
      </c>
    </row>
    <row r="136" spans="1:10" x14ac:dyDescent="0.55000000000000004">
      <c r="A136" t="s">
        <v>319</v>
      </c>
      <c r="B136" t="s">
        <v>320</v>
      </c>
      <c r="C136" t="s">
        <v>61</v>
      </c>
      <c r="D136" t="s">
        <v>74</v>
      </c>
      <c r="E136" t="s">
        <v>14</v>
      </c>
      <c r="F136">
        <v>38</v>
      </c>
      <c r="G136">
        <v>15</v>
      </c>
      <c r="H136">
        <v>10165</v>
      </c>
      <c r="I136" t="s">
        <v>35</v>
      </c>
      <c r="J136" t="s">
        <v>22</v>
      </c>
    </row>
    <row r="137" spans="1:10" x14ac:dyDescent="0.55000000000000004">
      <c r="A137" t="s">
        <v>321</v>
      </c>
      <c r="B137" t="s">
        <v>322</v>
      </c>
      <c r="C137" t="s">
        <v>47</v>
      </c>
      <c r="D137" t="s">
        <v>48</v>
      </c>
      <c r="E137" t="s">
        <v>29</v>
      </c>
      <c r="F137">
        <v>54</v>
      </c>
      <c r="G137">
        <v>26</v>
      </c>
      <c r="H137">
        <v>12969</v>
      </c>
      <c r="I137" t="s">
        <v>30</v>
      </c>
      <c r="J137" t="s">
        <v>22</v>
      </c>
    </row>
    <row r="138" spans="1:10" x14ac:dyDescent="0.55000000000000004">
      <c r="A138" t="s">
        <v>323</v>
      </c>
      <c r="B138" t="s">
        <v>324</v>
      </c>
      <c r="C138" t="s">
        <v>47</v>
      </c>
      <c r="D138" t="s">
        <v>48</v>
      </c>
      <c r="E138" t="s">
        <v>14</v>
      </c>
      <c r="F138">
        <v>39</v>
      </c>
      <c r="G138">
        <v>16</v>
      </c>
      <c r="H138">
        <v>10440</v>
      </c>
      <c r="I138" t="s">
        <v>90</v>
      </c>
      <c r="J138" t="s">
        <v>22</v>
      </c>
    </row>
    <row r="139" spans="1:10" x14ac:dyDescent="0.55000000000000004">
      <c r="A139" t="s">
        <v>325</v>
      </c>
      <c r="B139" t="s">
        <v>326</v>
      </c>
      <c r="C139" t="s">
        <v>47</v>
      </c>
      <c r="D139" t="s">
        <v>65</v>
      </c>
      <c r="E139" t="s">
        <v>29</v>
      </c>
      <c r="F139">
        <v>38</v>
      </c>
      <c r="G139">
        <v>13</v>
      </c>
      <c r="H139">
        <v>11047</v>
      </c>
      <c r="I139" t="s">
        <v>21</v>
      </c>
      <c r="J139" t="s">
        <v>36</v>
      </c>
    </row>
    <row r="140" spans="1:10" x14ac:dyDescent="0.55000000000000004">
      <c r="A140" t="s">
        <v>327</v>
      </c>
      <c r="B140" t="s">
        <v>328</v>
      </c>
      <c r="C140" t="s">
        <v>12</v>
      </c>
      <c r="D140" t="s">
        <v>25</v>
      </c>
      <c r="E140" t="s">
        <v>29</v>
      </c>
      <c r="F140">
        <v>54</v>
      </c>
      <c r="G140">
        <v>14</v>
      </c>
      <c r="H140">
        <v>10950</v>
      </c>
      <c r="I140" t="s">
        <v>30</v>
      </c>
      <c r="J140" t="s">
        <v>40</v>
      </c>
    </row>
    <row r="141" spans="1:10" x14ac:dyDescent="0.55000000000000004">
      <c r="A141" t="s">
        <v>329</v>
      </c>
      <c r="B141" t="s">
        <v>330</v>
      </c>
      <c r="C141" t="s">
        <v>12</v>
      </c>
      <c r="D141" t="s">
        <v>28</v>
      </c>
      <c r="E141" t="s">
        <v>29</v>
      </c>
      <c r="F141">
        <v>50</v>
      </c>
      <c r="G141">
        <v>12</v>
      </c>
      <c r="H141">
        <v>11225</v>
      </c>
      <c r="I141" t="s">
        <v>30</v>
      </c>
      <c r="J141" t="s">
        <v>36</v>
      </c>
    </row>
    <row r="142" spans="1:10" x14ac:dyDescent="0.55000000000000004">
      <c r="A142" t="s">
        <v>331</v>
      </c>
      <c r="B142" t="s">
        <v>332</v>
      </c>
      <c r="C142" t="s">
        <v>61</v>
      </c>
      <c r="D142" t="s">
        <v>188</v>
      </c>
      <c r="E142" t="s">
        <v>14</v>
      </c>
      <c r="F142">
        <v>44</v>
      </c>
      <c r="G142">
        <v>19</v>
      </c>
      <c r="H142">
        <v>13654</v>
      </c>
      <c r="I142" t="s">
        <v>90</v>
      </c>
      <c r="J142" t="s">
        <v>22</v>
      </c>
    </row>
    <row r="143" spans="1:10" x14ac:dyDescent="0.55000000000000004">
      <c r="A143" t="s">
        <v>333</v>
      </c>
      <c r="B143" t="s">
        <v>334</v>
      </c>
      <c r="C143" t="s">
        <v>47</v>
      </c>
      <c r="D143" t="s">
        <v>48</v>
      </c>
      <c r="E143" t="s">
        <v>14</v>
      </c>
      <c r="F143">
        <v>33</v>
      </c>
      <c r="G143">
        <v>6</v>
      </c>
      <c r="H143">
        <v>8007</v>
      </c>
      <c r="I143" t="s">
        <v>83</v>
      </c>
      <c r="J143" t="s">
        <v>22</v>
      </c>
    </row>
    <row r="144" spans="1:10" x14ac:dyDescent="0.55000000000000004">
      <c r="A144" t="s">
        <v>335</v>
      </c>
      <c r="B144" t="s">
        <v>336</v>
      </c>
      <c r="C144" t="s">
        <v>19</v>
      </c>
      <c r="D144" t="s">
        <v>39</v>
      </c>
      <c r="E144" t="s">
        <v>14</v>
      </c>
      <c r="F144">
        <v>23</v>
      </c>
      <c r="G144">
        <v>2</v>
      </c>
      <c r="H144">
        <v>8209</v>
      </c>
      <c r="I144" t="s">
        <v>21</v>
      </c>
      <c r="J144" t="s">
        <v>36</v>
      </c>
    </row>
    <row r="145" spans="1:10" x14ac:dyDescent="0.55000000000000004">
      <c r="A145" t="s">
        <v>337</v>
      </c>
      <c r="B145" t="s">
        <v>338</v>
      </c>
      <c r="C145" t="s">
        <v>61</v>
      </c>
      <c r="D145" t="s">
        <v>62</v>
      </c>
      <c r="E145" t="s">
        <v>29</v>
      </c>
      <c r="F145">
        <v>26</v>
      </c>
      <c r="G145">
        <v>5</v>
      </c>
      <c r="H145">
        <v>8010</v>
      </c>
      <c r="I145" t="s">
        <v>90</v>
      </c>
      <c r="J145" t="s">
        <v>22</v>
      </c>
    </row>
    <row r="146" spans="1:10" x14ac:dyDescent="0.55000000000000004">
      <c r="A146" t="s">
        <v>339</v>
      </c>
      <c r="B146" t="s">
        <v>340</v>
      </c>
      <c r="C146" t="s">
        <v>47</v>
      </c>
      <c r="D146" t="s">
        <v>48</v>
      </c>
      <c r="E146" t="s">
        <v>29</v>
      </c>
      <c r="F146">
        <v>50</v>
      </c>
      <c r="G146">
        <v>1</v>
      </c>
      <c r="H146">
        <v>5555</v>
      </c>
      <c r="I146" t="s">
        <v>30</v>
      </c>
      <c r="J146" t="s">
        <v>36</v>
      </c>
    </row>
    <row r="147" spans="1:10" x14ac:dyDescent="0.55000000000000004">
      <c r="A147" t="s">
        <v>341</v>
      </c>
      <c r="B147" t="s">
        <v>342</v>
      </c>
      <c r="C147" t="s">
        <v>19</v>
      </c>
      <c r="D147" t="s">
        <v>51</v>
      </c>
      <c r="E147" t="s">
        <v>14</v>
      </c>
      <c r="F147">
        <v>40</v>
      </c>
      <c r="G147">
        <v>1</v>
      </c>
      <c r="H147">
        <v>8832</v>
      </c>
      <c r="I147" t="s">
        <v>30</v>
      </c>
      <c r="J147" t="s">
        <v>22</v>
      </c>
    </row>
    <row r="148" spans="1:10" x14ac:dyDescent="0.55000000000000004">
      <c r="A148" t="s">
        <v>343</v>
      </c>
      <c r="B148" t="s">
        <v>344</v>
      </c>
      <c r="C148" t="s">
        <v>61</v>
      </c>
      <c r="D148" t="s">
        <v>62</v>
      </c>
      <c r="E148" t="s">
        <v>14</v>
      </c>
      <c r="F148">
        <v>47</v>
      </c>
      <c r="G148">
        <v>21</v>
      </c>
      <c r="H148">
        <v>12131</v>
      </c>
      <c r="I148" t="s">
        <v>52</v>
      </c>
      <c r="J148" t="s">
        <v>36</v>
      </c>
    </row>
    <row r="149" spans="1:10" x14ac:dyDescent="0.55000000000000004">
      <c r="A149" t="s">
        <v>345</v>
      </c>
      <c r="B149" t="s">
        <v>346</v>
      </c>
      <c r="C149" t="s">
        <v>61</v>
      </c>
      <c r="D149" t="s">
        <v>188</v>
      </c>
      <c r="E149" t="s">
        <v>29</v>
      </c>
      <c r="F149">
        <v>34</v>
      </c>
      <c r="G149">
        <v>5</v>
      </c>
      <c r="H149">
        <v>6419</v>
      </c>
      <c r="I149" t="s">
        <v>52</v>
      </c>
      <c r="J149" t="s">
        <v>22</v>
      </c>
    </row>
    <row r="150" spans="1:10" x14ac:dyDescent="0.55000000000000004">
      <c r="A150" t="s">
        <v>347</v>
      </c>
      <c r="B150" t="s">
        <v>348</v>
      </c>
      <c r="C150" t="s">
        <v>61</v>
      </c>
      <c r="D150" t="s">
        <v>74</v>
      </c>
      <c r="E150" t="s">
        <v>29</v>
      </c>
      <c r="F150">
        <v>22</v>
      </c>
      <c r="G150">
        <v>1</v>
      </c>
      <c r="H150">
        <v>6616</v>
      </c>
      <c r="I150" t="s">
        <v>52</v>
      </c>
      <c r="J150" t="s">
        <v>36</v>
      </c>
    </row>
    <row r="151" spans="1:10" x14ac:dyDescent="0.55000000000000004">
      <c r="A151" t="s">
        <v>349</v>
      </c>
      <c r="B151" t="s">
        <v>350</v>
      </c>
      <c r="C151" t="s">
        <v>55</v>
      </c>
      <c r="D151" t="s">
        <v>56</v>
      </c>
      <c r="E151" t="s">
        <v>14</v>
      </c>
      <c r="F151">
        <v>47</v>
      </c>
      <c r="G151">
        <v>23</v>
      </c>
      <c r="H151">
        <v>14799</v>
      </c>
      <c r="I151" t="s">
        <v>90</v>
      </c>
      <c r="J151" t="s">
        <v>22</v>
      </c>
    </row>
    <row r="152" spans="1:10" x14ac:dyDescent="0.55000000000000004">
      <c r="A152" t="s">
        <v>351</v>
      </c>
      <c r="B152" t="s">
        <v>352</v>
      </c>
      <c r="C152" t="s">
        <v>19</v>
      </c>
      <c r="D152" t="s">
        <v>20</v>
      </c>
      <c r="E152" t="s">
        <v>14</v>
      </c>
      <c r="F152">
        <v>55</v>
      </c>
      <c r="G152">
        <v>3</v>
      </c>
      <c r="H152">
        <v>9244</v>
      </c>
      <c r="I152" t="s">
        <v>30</v>
      </c>
      <c r="J152" t="s">
        <v>40</v>
      </c>
    </row>
    <row r="153" spans="1:10" x14ac:dyDescent="0.55000000000000004">
      <c r="A153" t="s">
        <v>353</v>
      </c>
      <c r="B153" t="s">
        <v>354</v>
      </c>
      <c r="C153" t="s">
        <v>33</v>
      </c>
      <c r="D153" t="s">
        <v>93</v>
      </c>
      <c r="E153" t="s">
        <v>29</v>
      </c>
      <c r="F153">
        <v>26</v>
      </c>
      <c r="G153">
        <v>3</v>
      </c>
      <c r="H153">
        <v>5894</v>
      </c>
      <c r="I153" t="s">
        <v>15</v>
      </c>
      <c r="J153" t="s">
        <v>22</v>
      </c>
    </row>
    <row r="154" spans="1:10" x14ac:dyDescent="0.55000000000000004">
      <c r="A154" t="s">
        <v>355</v>
      </c>
      <c r="B154" t="s">
        <v>356</v>
      </c>
      <c r="C154" t="s">
        <v>55</v>
      </c>
      <c r="D154" t="s">
        <v>80</v>
      </c>
      <c r="E154" t="s">
        <v>14</v>
      </c>
      <c r="F154">
        <v>47</v>
      </c>
      <c r="G154">
        <v>2</v>
      </c>
      <c r="H154">
        <v>6312</v>
      </c>
      <c r="I154" t="s">
        <v>21</v>
      </c>
      <c r="J154" t="s">
        <v>22</v>
      </c>
    </row>
    <row r="155" spans="1:10" x14ac:dyDescent="0.55000000000000004">
      <c r="A155" t="s">
        <v>357</v>
      </c>
      <c r="B155" t="s">
        <v>358</v>
      </c>
      <c r="C155" t="s">
        <v>47</v>
      </c>
      <c r="D155" t="s">
        <v>48</v>
      </c>
      <c r="E155" t="s">
        <v>14</v>
      </c>
      <c r="F155">
        <v>47</v>
      </c>
      <c r="G155">
        <v>24</v>
      </c>
      <c r="H155">
        <v>12241</v>
      </c>
      <c r="I155" t="s">
        <v>90</v>
      </c>
      <c r="J155" t="s">
        <v>36</v>
      </c>
    </row>
    <row r="156" spans="1:10" x14ac:dyDescent="0.55000000000000004">
      <c r="A156" t="s">
        <v>359</v>
      </c>
      <c r="B156" t="s">
        <v>360</v>
      </c>
      <c r="C156" t="s">
        <v>12</v>
      </c>
      <c r="D156" t="s">
        <v>28</v>
      </c>
      <c r="E156" t="s">
        <v>29</v>
      </c>
      <c r="F156">
        <v>40</v>
      </c>
      <c r="G156">
        <v>12</v>
      </c>
      <c r="H156">
        <v>11299</v>
      </c>
      <c r="I156" t="s">
        <v>15</v>
      </c>
      <c r="J156" t="s">
        <v>22</v>
      </c>
    </row>
    <row r="157" spans="1:10" x14ac:dyDescent="0.55000000000000004">
      <c r="A157" t="s">
        <v>361</v>
      </c>
      <c r="B157" t="s">
        <v>362</v>
      </c>
      <c r="C157" t="s">
        <v>61</v>
      </c>
      <c r="D157" t="s">
        <v>62</v>
      </c>
      <c r="E157" t="s">
        <v>29</v>
      </c>
      <c r="F157">
        <v>32</v>
      </c>
      <c r="G157">
        <v>8</v>
      </c>
      <c r="H157">
        <v>9661</v>
      </c>
      <c r="I157" t="s">
        <v>83</v>
      </c>
      <c r="J157" t="s">
        <v>22</v>
      </c>
    </row>
    <row r="158" spans="1:10" x14ac:dyDescent="0.55000000000000004">
      <c r="A158" t="s">
        <v>363</v>
      </c>
      <c r="B158" t="s">
        <v>364</v>
      </c>
      <c r="C158" t="s">
        <v>61</v>
      </c>
      <c r="D158" t="s">
        <v>62</v>
      </c>
      <c r="E158" t="s">
        <v>14</v>
      </c>
      <c r="F158">
        <v>60</v>
      </c>
      <c r="G158">
        <v>14</v>
      </c>
      <c r="H158">
        <v>8496</v>
      </c>
      <c r="I158" t="s">
        <v>15</v>
      </c>
      <c r="J158" t="s">
        <v>22</v>
      </c>
    </row>
    <row r="159" spans="1:10" x14ac:dyDescent="0.55000000000000004">
      <c r="A159" t="s">
        <v>365</v>
      </c>
      <c r="B159" t="s">
        <v>366</v>
      </c>
      <c r="C159" t="s">
        <v>12</v>
      </c>
      <c r="D159" t="s">
        <v>28</v>
      </c>
      <c r="E159" t="s">
        <v>29</v>
      </c>
      <c r="F159">
        <v>41</v>
      </c>
      <c r="G159">
        <v>8</v>
      </c>
      <c r="H159">
        <v>8874</v>
      </c>
      <c r="I159" t="s">
        <v>15</v>
      </c>
      <c r="J159" t="s">
        <v>22</v>
      </c>
    </row>
    <row r="160" spans="1:10" x14ac:dyDescent="0.55000000000000004">
      <c r="A160" t="s">
        <v>367</v>
      </c>
      <c r="B160" t="s">
        <v>368</v>
      </c>
      <c r="C160" t="s">
        <v>19</v>
      </c>
      <c r="D160" t="s">
        <v>20</v>
      </c>
      <c r="E160" t="s">
        <v>14</v>
      </c>
      <c r="F160">
        <v>52</v>
      </c>
      <c r="G160">
        <v>19</v>
      </c>
      <c r="H160">
        <v>15819</v>
      </c>
      <c r="I160" t="s">
        <v>90</v>
      </c>
      <c r="J160" t="s">
        <v>36</v>
      </c>
    </row>
    <row r="161" spans="1:10" x14ac:dyDescent="0.55000000000000004">
      <c r="A161" t="s">
        <v>369</v>
      </c>
      <c r="B161" t="s">
        <v>370</v>
      </c>
      <c r="C161" t="s">
        <v>12</v>
      </c>
      <c r="D161" t="s">
        <v>28</v>
      </c>
      <c r="E161" t="s">
        <v>14</v>
      </c>
      <c r="F161">
        <v>32</v>
      </c>
      <c r="G161">
        <v>9</v>
      </c>
      <c r="H161">
        <v>10957</v>
      </c>
      <c r="I161" t="s">
        <v>21</v>
      </c>
      <c r="J161" t="s">
        <v>22</v>
      </c>
    </row>
    <row r="162" spans="1:10" x14ac:dyDescent="0.55000000000000004">
      <c r="A162" t="s">
        <v>371</v>
      </c>
      <c r="B162" t="s">
        <v>372</v>
      </c>
      <c r="C162" t="s">
        <v>33</v>
      </c>
      <c r="D162" t="s">
        <v>93</v>
      </c>
      <c r="E162" t="s">
        <v>14</v>
      </c>
      <c r="F162">
        <v>29</v>
      </c>
      <c r="G162">
        <v>5</v>
      </c>
      <c r="H162">
        <v>8405</v>
      </c>
      <c r="I162" t="s">
        <v>52</v>
      </c>
      <c r="J162" t="s">
        <v>22</v>
      </c>
    </row>
    <row r="163" spans="1:10" x14ac:dyDescent="0.55000000000000004">
      <c r="A163" t="s">
        <v>373</v>
      </c>
      <c r="B163" t="s">
        <v>374</v>
      </c>
      <c r="C163" t="s">
        <v>55</v>
      </c>
      <c r="D163" t="s">
        <v>80</v>
      </c>
      <c r="E163" t="s">
        <v>29</v>
      </c>
      <c r="F163">
        <v>44</v>
      </c>
      <c r="G163">
        <v>16</v>
      </c>
      <c r="H163">
        <v>8482</v>
      </c>
      <c r="I163" t="s">
        <v>35</v>
      </c>
      <c r="J163" t="s">
        <v>22</v>
      </c>
    </row>
    <row r="164" spans="1:10" x14ac:dyDescent="0.55000000000000004">
      <c r="A164" t="s">
        <v>375</v>
      </c>
      <c r="B164" t="s">
        <v>376</v>
      </c>
      <c r="C164" t="s">
        <v>19</v>
      </c>
      <c r="D164" t="s">
        <v>51</v>
      </c>
      <c r="E164" t="s">
        <v>29</v>
      </c>
      <c r="F164">
        <v>37</v>
      </c>
      <c r="G164">
        <v>2</v>
      </c>
      <c r="H164">
        <v>8616</v>
      </c>
      <c r="I164" t="s">
        <v>52</v>
      </c>
      <c r="J164" t="s">
        <v>36</v>
      </c>
    </row>
    <row r="165" spans="1:10" x14ac:dyDescent="0.55000000000000004">
      <c r="A165" t="s">
        <v>377</v>
      </c>
      <c r="B165" t="s">
        <v>378</v>
      </c>
      <c r="C165" t="s">
        <v>12</v>
      </c>
      <c r="D165" t="s">
        <v>25</v>
      </c>
      <c r="E165" t="s">
        <v>14</v>
      </c>
      <c r="F165">
        <v>40</v>
      </c>
      <c r="G165">
        <v>5</v>
      </c>
      <c r="H165">
        <v>8269</v>
      </c>
      <c r="I165" t="s">
        <v>21</v>
      </c>
      <c r="J165" t="s">
        <v>22</v>
      </c>
    </row>
    <row r="166" spans="1:10" x14ac:dyDescent="0.55000000000000004">
      <c r="A166" t="s">
        <v>379</v>
      </c>
      <c r="B166" t="s">
        <v>380</v>
      </c>
      <c r="C166" t="s">
        <v>12</v>
      </c>
      <c r="D166" t="s">
        <v>28</v>
      </c>
      <c r="E166" t="s">
        <v>29</v>
      </c>
      <c r="F166">
        <v>41</v>
      </c>
      <c r="G166">
        <v>15</v>
      </c>
      <c r="H166">
        <v>10201</v>
      </c>
      <c r="I166" t="s">
        <v>52</v>
      </c>
      <c r="J166" t="s">
        <v>22</v>
      </c>
    </row>
    <row r="167" spans="1:10" x14ac:dyDescent="0.55000000000000004">
      <c r="A167" t="s">
        <v>381</v>
      </c>
      <c r="B167" t="s">
        <v>382</v>
      </c>
      <c r="C167" t="s">
        <v>12</v>
      </c>
      <c r="D167" t="s">
        <v>25</v>
      </c>
      <c r="E167" t="s">
        <v>14</v>
      </c>
      <c r="F167">
        <v>23</v>
      </c>
      <c r="G167">
        <v>2</v>
      </c>
      <c r="H167">
        <v>8556</v>
      </c>
      <c r="I167" t="s">
        <v>35</v>
      </c>
      <c r="J167" t="s">
        <v>22</v>
      </c>
    </row>
    <row r="168" spans="1:10" x14ac:dyDescent="0.55000000000000004">
      <c r="A168" t="s">
        <v>383</v>
      </c>
      <c r="B168" t="s">
        <v>384</v>
      </c>
      <c r="C168" t="s">
        <v>43</v>
      </c>
      <c r="D168" t="s">
        <v>44</v>
      </c>
      <c r="E168" t="s">
        <v>29</v>
      </c>
      <c r="F168">
        <v>42</v>
      </c>
      <c r="G168">
        <v>16</v>
      </c>
      <c r="H168">
        <v>9379</v>
      </c>
      <c r="I168" t="s">
        <v>15</v>
      </c>
      <c r="J168" t="s">
        <v>36</v>
      </c>
    </row>
    <row r="169" spans="1:10" x14ac:dyDescent="0.55000000000000004">
      <c r="A169" t="s">
        <v>385</v>
      </c>
      <c r="B169" t="s">
        <v>386</v>
      </c>
      <c r="C169" t="s">
        <v>61</v>
      </c>
      <c r="D169" t="s">
        <v>188</v>
      </c>
      <c r="E169" t="s">
        <v>29</v>
      </c>
      <c r="F169">
        <v>46</v>
      </c>
      <c r="G169">
        <v>8</v>
      </c>
      <c r="H169">
        <v>8405</v>
      </c>
      <c r="I169" t="s">
        <v>30</v>
      </c>
      <c r="J169" t="s">
        <v>22</v>
      </c>
    </row>
    <row r="170" spans="1:10" x14ac:dyDescent="0.55000000000000004">
      <c r="A170" t="s">
        <v>387</v>
      </c>
      <c r="B170" t="s">
        <v>388</v>
      </c>
      <c r="C170" t="s">
        <v>61</v>
      </c>
      <c r="D170" t="s">
        <v>62</v>
      </c>
      <c r="E170" t="s">
        <v>14</v>
      </c>
      <c r="F170">
        <v>22</v>
      </c>
      <c r="G170">
        <v>0</v>
      </c>
      <c r="H170">
        <v>4667</v>
      </c>
      <c r="I170" t="s">
        <v>21</v>
      </c>
      <c r="J170" t="s">
        <v>40</v>
      </c>
    </row>
    <row r="171" spans="1:10" x14ac:dyDescent="0.55000000000000004">
      <c r="A171" t="s">
        <v>389</v>
      </c>
      <c r="B171" t="s">
        <v>390</v>
      </c>
      <c r="C171" t="s">
        <v>19</v>
      </c>
      <c r="D171" t="s">
        <v>20</v>
      </c>
      <c r="E171" t="s">
        <v>29</v>
      </c>
      <c r="F171">
        <v>30</v>
      </c>
      <c r="G171">
        <v>8</v>
      </c>
      <c r="H171">
        <v>11292</v>
      </c>
      <c r="I171" t="s">
        <v>30</v>
      </c>
      <c r="J171" t="s">
        <v>22</v>
      </c>
    </row>
    <row r="172" spans="1:10" x14ac:dyDescent="0.55000000000000004">
      <c r="A172" t="s">
        <v>391</v>
      </c>
      <c r="B172" t="s">
        <v>392</v>
      </c>
      <c r="C172" t="s">
        <v>12</v>
      </c>
      <c r="D172" t="s">
        <v>28</v>
      </c>
      <c r="E172" t="s">
        <v>29</v>
      </c>
      <c r="F172">
        <v>53</v>
      </c>
      <c r="G172">
        <v>23</v>
      </c>
      <c r="H172">
        <v>13065</v>
      </c>
      <c r="I172" t="s">
        <v>90</v>
      </c>
      <c r="J172" t="s">
        <v>40</v>
      </c>
    </row>
    <row r="173" spans="1:10" x14ac:dyDescent="0.55000000000000004">
      <c r="A173" t="s">
        <v>393</v>
      </c>
      <c r="B173" t="s">
        <v>394</v>
      </c>
      <c r="C173" t="s">
        <v>12</v>
      </c>
      <c r="D173" t="s">
        <v>28</v>
      </c>
      <c r="E173" t="s">
        <v>14</v>
      </c>
      <c r="F173">
        <v>44</v>
      </c>
      <c r="G173">
        <v>22</v>
      </c>
      <c r="H173">
        <v>12181</v>
      </c>
      <c r="I173" t="s">
        <v>15</v>
      </c>
      <c r="J173" t="s">
        <v>36</v>
      </c>
    </row>
    <row r="174" spans="1:10" x14ac:dyDescent="0.55000000000000004">
      <c r="A174" t="s">
        <v>395</v>
      </c>
      <c r="B174" t="s">
        <v>396</v>
      </c>
      <c r="C174" t="s">
        <v>61</v>
      </c>
      <c r="D174" t="s">
        <v>188</v>
      </c>
      <c r="E174" t="s">
        <v>14</v>
      </c>
      <c r="F174">
        <v>24</v>
      </c>
      <c r="G174">
        <v>0</v>
      </c>
      <c r="H174">
        <v>4596</v>
      </c>
      <c r="I174" t="s">
        <v>35</v>
      </c>
      <c r="J174" t="s">
        <v>22</v>
      </c>
    </row>
    <row r="175" spans="1:10" x14ac:dyDescent="0.55000000000000004">
      <c r="A175" t="s">
        <v>397</v>
      </c>
      <c r="B175" t="s">
        <v>398</v>
      </c>
      <c r="C175" t="s">
        <v>47</v>
      </c>
      <c r="D175" t="s">
        <v>65</v>
      </c>
      <c r="E175" t="s">
        <v>14</v>
      </c>
      <c r="F175">
        <v>47</v>
      </c>
      <c r="G175">
        <v>13</v>
      </c>
      <c r="H175">
        <v>11361</v>
      </c>
      <c r="I175" t="s">
        <v>83</v>
      </c>
      <c r="J175" t="s">
        <v>40</v>
      </c>
    </row>
    <row r="176" spans="1:10" x14ac:dyDescent="0.55000000000000004">
      <c r="A176" t="s">
        <v>399</v>
      </c>
      <c r="B176" t="s">
        <v>400</v>
      </c>
      <c r="C176" t="s">
        <v>61</v>
      </c>
      <c r="D176" t="s">
        <v>74</v>
      </c>
      <c r="E176" t="s">
        <v>29</v>
      </c>
      <c r="F176">
        <v>47</v>
      </c>
      <c r="G176">
        <v>10</v>
      </c>
      <c r="H176">
        <v>10489</v>
      </c>
      <c r="I176" t="s">
        <v>21</v>
      </c>
      <c r="J176" t="s">
        <v>36</v>
      </c>
    </row>
    <row r="177" spans="1:10" x14ac:dyDescent="0.55000000000000004">
      <c r="A177" t="s">
        <v>401</v>
      </c>
      <c r="B177" t="s">
        <v>402</v>
      </c>
      <c r="C177" t="s">
        <v>43</v>
      </c>
      <c r="D177" t="s">
        <v>147</v>
      </c>
      <c r="E177" t="s">
        <v>14</v>
      </c>
      <c r="F177">
        <v>34</v>
      </c>
      <c r="G177">
        <v>10</v>
      </c>
      <c r="H177">
        <v>11840</v>
      </c>
      <c r="I177" t="s">
        <v>83</v>
      </c>
      <c r="J177" t="s">
        <v>36</v>
      </c>
    </row>
    <row r="178" spans="1:10" x14ac:dyDescent="0.55000000000000004">
      <c r="A178" t="s">
        <v>403</v>
      </c>
      <c r="B178" t="s">
        <v>404</v>
      </c>
      <c r="C178" t="s">
        <v>33</v>
      </c>
      <c r="D178" t="s">
        <v>93</v>
      </c>
      <c r="E178" t="s">
        <v>14</v>
      </c>
      <c r="F178">
        <v>49</v>
      </c>
      <c r="G178">
        <v>8</v>
      </c>
      <c r="H178">
        <v>7696</v>
      </c>
      <c r="I178" t="s">
        <v>30</v>
      </c>
      <c r="J178" t="s">
        <v>36</v>
      </c>
    </row>
    <row r="179" spans="1:10" x14ac:dyDescent="0.55000000000000004">
      <c r="A179" t="s">
        <v>405</v>
      </c>
      <c r="B179" t="s">
        <v>406</v>
      </c>
      <c r="C179" t="s">
        <v>47</v>
      </c>
      <c r="D179" t="s">
        <v>48</v>
      </c>
      <c r="E179" t="s">
        <v>29</v>
      </c>
      <c r="F179">
        <v>55</v>
      </c>
      <c r="G179">
        <v>25</v>
      </c>
      <c r="H179">
        <v>16087</v>
      </c>
      <c r="I179" t="s">
        <v>52</v>
      </c>
      <c r="J179" t="s">
        <v>22</v>
      </c>
    </row>
    <row r="180" spans="1:10" x14ac:dyDescent="0.55000000000000004">
      <c r="A180" t="s">
        <v>407</v>
      </c>
      <c r="B180" t="s">
        <v>408</v>
      </c>
      <c r="C180" t="s">
        <v>61</v>
      </c>
      <c r="D180" t="s">
        <v>62</v>
      </c>
      <c r="E180" t="s">
        <v>14</v>
      </c>
      <c r="F180">
        <v>27</v>
      </c>
      <c r="G180">
        <v>3</v>
      </c>
      <c r="H180">
        <v>6633</v>
      </c>
      <c r="I180" t="s">
        <v>52</v>
      </c>
      <c r="J180" t="s">
        <v>22</v>
      </c>
    </row>
    <row r="181" spans="1:10" x14ac:dyDescent="0.55000000000000004">
      <c r="A181" t="s">
        <v>409</v>
      </c>
      <c r="B181" t="s">
        <v>410</v>
      </c>
      <c r="C181" t="s">
        <v>61</v>
      </c>
      <c r="D181" t="s">
        <v>62</v>
      </c>
      <c r="E181" t="s">
        <v>29</v>
      </c>
      <c r="F181">
        <v>34</v>
      </c>
      <c r="G181">
        <v>12</v>
      </c>
      <c r="H181">
        <v>9556</v>
      </c>
      <c r="I181" t="s">
        <v>83</v>
      </c>
      <c r="J181" t="s">
        <v>22</v>
      </c>
    </row>
    <row r="182" spans="1:10" x14ac:dyDescent="0.55000000000000004">
      <c r="A182" t="s">
        <v>411</v>
      </c>
      <c r="B182" t="s">
        <v>412</v>
      </c>
      <c r="C182" t="s">
        <v>43</v>
      </c>
      <c r="D182" t="s">
        <v>147</v>
      </c>
      <c r="E182" t="s">
        <v>29</v>
      </c>
      <c r="F182">
        <v>38</v>
      </c>
      <c r="G182">
        <v>3</v>
      </c>
      <c r="H182">
        <v>7083</v>
      </c>
      <c r="I182" t="s">
        <v>35</v>
      </c>
      <c r="J182" t="s">
        <v>22</v>
      </c>
    </row>
    <row r="183" spans="1:10" x14ac:dyDescent="0.55000000000000004">
      <c r="A183" t="s">
        <v>413</v>
      </c>
      <c r="B183" t="s">
        <v>414</v>
      </c>
      <c r="C183" t="s">
        <v>43</v>
      </c>
      <c r="D183" t="s">
        <v>147</v>
      </c>
      <c r="E183" t="s">
        <v>14</v>
      </c>
      <c r="F183">
        <v>33</v>
      </c>
      <c r="G183">
        <v>9</v>
      </c>
      <c r="H183">
        <v>9744</v>
      </c>
      <c r="I183" t="s">
        <v>15</v>
      </c>
      <c r="J183" t="s">
        <v>16</v>
      </c>
    </row>
    <row r="184" spans="1:10" x14ac:dyDescent="0.55000000000000004">
      <c r="A184" t="s">
        <v>415</v>
      </c>
      <c r="B184" t="s">
        <v>416</v>
      </c>
      <c r="C184" t="s">
        <v>47</v>
      </c>
      <c r="D184" t="s">
        <v>71</v>
      </c>
      <c r="E184" t="s">
        <v>29</v>
      </c>
      <c r="F184">
        <v>44</v>
      </c>
      <c r="G184">
        <v>10</v>
      </c>
      <c r="H184">
        <v>9018</v>
      </c>
      <c r="I184" t="s">
        <v>15</v>
      </c>
      <c r="J184" t="s">
        <v>40</v>
      </c>
    </row>
    <row r="185" spans="1:10" x14ac:dyDescent="0.55000000000000004">
      <c r="A185" t="s">
        <v>417</v>
      </c>
      <c r="B185" t="s">
        <v>418</v>
      </c>
      <c r="C185" t="s">
        <v>47</v>
      </c>
      <c r="D185" t="s">
        <v>65</v>
      </c>
      <c r="E185" t="s">
        <v>14</v>
      </c>
      <c r="F185">
        <v>50</v>
      </c>
      <c r="G185">
        <v>15</v>
      </c>
      <c r="H185">
        <v>10656</v>
      </c>
      <c r="I185" t="s">
        <v>21</v>
      </c>
      <c r="J185" t="s">
        <v>22</v>
      </c>
    </row>
    <row r="186" spans="1:10" x14ac:dyDescent="0.55000000000000004">
      <c r="A186" t="s">
        <v>419</v>
      </c>
      <c r="B186" t="s">
        <v>420</v>
      </c>
      <c r="C186" t="s">
        <v>19</v>
      </c>
      <c r="D186" t="s">
        <v>20</v>
      </c>
      <c r="E186" t="s">
        <v>14</v>
      </c>
      <c r="F186">
        <v>36</v>
      </c>
      <c r="G186">
        <v>5</v>
      </c>
      <c r="H186">
        <v>10084</v>
      </c>
      <c r="I186" t="s">
        <v>90</v>
      </c>
      <c r="J186" t="s">
        <v>22</v>
      </c>
    </row>
    <row r="187" spans="1:10" x14ac:dyDescent="0.55000000000000004">
      <c r="A187" t="s">
        <v>421</v>
      </c>
      <c r="B187" t="s">
        <v>422</v>
      </c>
      <c r="C187" t="s">
        <v>61</v>
      </c>
      <c r="D187" t="s">
        <v>74</v>
      </c>
      <c r="E187" t="s">
        <v>14</v>
      </c>
      <c r="F187">
        <v>35</v>
      </c>
      <c r="G187">
        <v>10</v>
      </c>
      <c r="H187">
        <v>9076</v>
      </c>
      <c r="I187" t="s">
        <v>21</v>
      </c>
      <c r="J187" t="s">
        <v>40</v>
      </c>
    </row>
    <row r="188" spans="1:10" x14ac:dyDescent="0.55000000000000004">
      <c r="A188" t="s">
        <v>423</v>
      </c>
      <c r="B188" t="s">
        <v>424</v>
      </c>
      <c r="C188" t="s">
        <v>19</v>
      </c>
      <c r="D188" t="s">
        <v>39</v>
      </c>
      <c r="E188" t="s">
        <v>29</v>
      </c>
      <c r="F188">
        <v>42</v>
      </c>
      <c r="G188">
        <v>9</v>
      </c>
      <c r="H188">
        <v>12649</v>
      </c>
      <c r="I188" t="s">
        <v>83</v>
      </c>
      <c r="J188" t="s">
        <v>36</v>
      </c>
    </row>
    <row r="189" spans="1:10" x14ac:dyDescent="0.55000000000000004">
      <c r="A189" t="s">
        <v>425</v>
      </c>
      <c r="B189" t="s">
        <v>426</v>
      </c>
      <c r="C189" t="s">
        <v>19</v>
      </c>
      <c r="D189" t="s">
        <v>20</v>
      </c>
      <c r="E189" t="s">
        <v>29</v>
      </c>
      <c r="F189">
        <v>50</v>
      </c>
      <c r="G189">
        <v>29</v>
      </c>
      <c r="H189">
        <v>14161</v>
      </c>
      <c r="I189" t="s">
        <v>90</v>
      </c>
      <c r="J189" t="s">
        <v>22</v>
      </c>
    </row>
    <row r="190" spans="1:10" x14ac:dyDescent="0.55000000000000004">
      <c r="A190" t="s">
        <v>427</v>
      </c>
      <c r="B190" t="s">
        <v>428</v>
      </c>
      <c r="C190" t="s">
        <v>55</v>
      </c>
      <c r="D190" t="s">
        <v>56</v>
      </c>
      <c r="E190" t="s">
        <v>14</v>
      </c>
      <c r="F190">
        <v>31</v>
      </c>
      <c r="G190">
        <v>8</v>
      </c>
      <c r="H190">
        <v>8638</v>
      </c>
      <c r="I190" t="s">
        <v>15</v>
      </c>
      <c r="J190" t="s">
        <v>36</v>
      </c>
    </row>
    <row r="191" spans="1:10" x14ac:dyDescent="0.55000000000000004">
      <c r="A191" t="s">
        <v>429</v>
      </c>
      <c r="B191" t="s">
        <v>430</v>
      </c>
      <c r="C191" t="s">
        <v>43</v>
      </c>
      <c r="D191" t="s">
        <v>44</v>
      </c>
      <c r="E191" t="s">
        <v>14</v>
      </c>
      <c r="F191">
        <v>46</v>
      </c>
      <c r="G191">
        <v>6</v>
      </c>
      <c r="H191">
        <v>8111</v>
      </c>
      <c r="I191" t="s">
        <v>35</v>
      </c>
      <c r="J191" t="s">
        <v>22</v>
      </c>
    </row>
    <row r="192" spans="1:10" x14ac:dyDescent="0.55000000000000004">
      <c r="A192" t="s">
        <v>431</v>
      </c>
      <c r="B192" t="s">
        <v>432</v>
      </c>
      <c r="C192" t="s">
        <v>19</v>
      </c>
      <c r="D192" t="s">
        <v>39</v>
      </c>
      <c r="E192" t="s">
        <v>14</v>
      </c>
      <c r="F192">
        <v>47</v>
      </c>
      <c r="G192">
        <v>16</v>
      </c>
      <c r="H192">
        <v>14061</v>
      </c>
      <c r="I192" t="s">
        <v>30</v>
      </c>
      <c r="J192" t="s">
        <v>40</v>
      </c>
    </row>
    <row r="193" spans="1:10" x14ac:dyDescent="0.55000000000000004">
      <c r="A193" t="s">
        <v>433</v>
      </c>
      <c r="B193" t="s">
        <v>434</v>
      </c>
      <c r="C193" t="s">
        <v>61</v>
      </c>
      <c r="D193" t="s">
        <v>188</v>
      </c>
      <c r="E193" t="s">
        <v>14</v>
      </c>
      <c r="F193">
        <v>36</v>
      </c>
      <c r="G193">
        <v>0</v>
      </c>
      <c r="H193">
        <v>4667</v>
      </c>
      <c r="I193" t="s">
        <v>83</v>
      </c>
      <c r="J193" t="s">
        <v>22</v>
      </c>
    </row>
    <row r="194" spans="1:10" x14ac:dyDescent="0.55000000000000004">
      <c r="A194" t="s">
        <v>435</v>
      </c>
      <c r="B194" t="s">
        <v>436</v>
      </c>
      <c r="C194" t="s">
        <v>61</v>
      </c>
      <c r="D194" t="s">
        <v>74</v>
      </c>
      <c r="E194" t="s">
        <v>14</v>
      </c>
      <c r="F194">
        <v>41</v>
      </c>
      <c r="G194">
        <v>17</v>
      </c>
      <c r="H194">
        <v>10946</v>
      </c>
      <c r="I194" t="s">
        <v>52</v>
      </c>
      <c r="J194" t="s">
        <v>40</v>
      </c>
    </row>
    <row r="195" spans="1:10" x14ac:dyDescent="0.55000000000000004">
      <c r="A195" t="s">
        <v>437</v>
      </c>
      <c r="B195" t="s">
        <v>438</v>
      </c>
      <c r="C195" t="s">
        <v>47</v>
      </c>
      <c r="D195" t="s">
        <v>65</v>
      </c>
      <c r="E195" t="s">
        <v>29</v>
      </c>
      <c r="F195">
        <v>60</v>
      </c>
      <c r="G195">
        <v>28</v>
      </c>
      <c r="H195">
        <v>14460</v>
      </c>
      <c r="I195" t="s">
        <v>15</v>
      </c>
      <c r="J195" t="s">
        <v>22</v>
      </c>
    </row>
    <row r="196" spans="1:10" x14ac:dyDescent="0.55000000000000004">
      <c r="A196" t="s">
        <v>439</v>
      </c>
      <c r="B196" t="s">
        <v>440</v>
      </c>
      <c r="C196" t="s">
        <v>43</v>
      </c>
      <c r="D196" t="s">
        <v>147</v>
      </c>
      <c r="E196" t="s">
        <v>29</v>
      </c>
      <c r="F196">
        <v>46</v>
      </c>
      <c r="G196">
        <v>11</v>
      </c>
      <c r="H196">
        <v>9083</v>
      </c>
      <c r="I196" t="s">
        <v>35</v>
      </c>
      <c r="J196" t="s">
        <v>40</v>
      </c>
    </row>
    <row r="197" spans="1:10" x14ac:dyDescent="0.55000000000000004">
      <c r="A197" t="s">
        <v>441</v>
      </c>
      <c r="B197" t="s">
        <v>442</v>
      </c>
      <c r="C197" t="s">
        <v>43</v>
      </c>
      <c r="D197" t="s">
        <v>44</v>
      </c>
      <c r="E197" t="s">
        <v>29</v>
      </c>
      <c r="F197">
        <v>58</v>
      </c>
      <c r="G197">
        <v>6</v>
      </c>
      <c r="H197">
        <v>7798</v>
      </c>
      <c r="I197" t="s">
        <v>52</v>
      </c>
      <c r="J197" t="s">
        <v>40</v>
      </c>
    </row>
    <row r="198" spans="1:10" x14ac:dyDescent="0.55000000000000004">
      <c r="A198" t="s">
        <v>443</v>
      </c>
      <c r="B198" t="s">
        <v>444</v>
      </c>
      <c r="C198" t="s">
        <v>19</v>
      </c>
      <c r="D198" t="s">
        <v>39</v>
      </c>
      <c r="E198" t="s">
        <v>14</v>
      </c>
      <c r="F198">
        <v>55</v>
      </c>
      <c r="G198">
        <v>29</v>
      </c>
      <c r="H198">
        <v>15359</v>
      </c>
      <c r="I198" t="s">
        <v>15</v>
      </c>
      <c r="J198" t="s">
        <v>22</v>
      </c>
    </row>
    <row r="199" spans="1:10" x14ac:dyDescent="0.55000000000000004">
      <c r="A199" t="s">
        <v>445</v>
      </c>
      <c r="B199" t="s">
        <v>446</v>
      </c>
      <c r="C199" t="s">
        <v>33</v>
      </c>
      <c r="D199" t="s">
        <v>77</v>
      </c>
      <c r="E199" t="s">
        <v>14</v>
      </c>
      <c r="F199">
        <v>33</v>
      </c>
      <c r="G199">
        <v>0</v>
      </c>
      <c r="H199">
        <v>4948</v>
      </c>
      <c r="I199" t="s">
        <v>21</v>
      </c>
      <c r="J199" t="s">
        <v>22</v>
      </c>
    </row>
    <row r="200" spans="1:10" x14ac:dyDescent="0.55000000000000004">
      <c r="A200" t="s">
        <v>447</v>
      </c>
      <c r="B200" t="s">
        <v>448</v>
      </c>
      <c r="C200" t="s">
        <v>12</v>
      </c>
      <c r="D200" t="s">
        <v>13</v>
      </c>
      <c r="E200" t="s">
        <v>14</v>
      </c>
      <c r="F200">
        <v>23</v>
      </c>
      <c r="G200">
        <v>2</v>
      </c>
      <c r="H200">
        <v>8758</v>
      </c>
      <c r="I200" t="s">
        <v>21</v>
      </c>
      <c r="J200" t="s">
        <v>22</v>
      </c>
    </row>
    <row r="201" spans="1:10" x14ac:dyDescent="0.55000000000000004">
      <c r="A201" t="s">
        <v>449</v>
      </c>
      <c r="B201" t="s">
        <v>450</v>
      </c>
      <c r="C201" t="s">
        <v>55</v>
      </c>
      <c r="D201" t="s">
        <v>80</v>
      </c>
      <c r="E201" t="s">
        <v>14</v>
      </c>
      <c r="F201">
        <v>54</v>
      </c>
      <c r="G201">
        <v>22</v>
      </c>
      <c r="H201">
        <v>11091</v>
      </c>
      <c r="I201" t="s">
        <v>90</v>
      </c>
      <c r="J201" t="s">
        <v>22</v>
      </c>
    </row>
    <row r="202" spans="1:10" x14ac:dyDescent="0.55000000000000004">
      <c r="A202" t="s">
        <v>451</v>
      </c>
      <c r="B202" t="s">
        <v>452</v>
      </c>
      <c r="C202" t="s">
        <v>55</v>
      </c>
      <c r="D202" t="s">
        <v>80</v>
      </c>
      <c r="E202" t="s">
        <v>29</v>
      </c>
      <c r="F202">
        <v>55</v>
      </c>
      <c r="G202">
        <v>13</v>
      </c>
      <c r="H202">
        <v>9493</v>
      </c>
      <c r="I202" t="s">
        <v>90</v>
      </c>
      <c r="J202" t="s">
        <v>22</v>
      </c>
    </row>
    <row r="203" spans="1:10" x14ac:dyDescent="0.55000000000000004">
      <c r="A203" t="s">
        <v>453</v>
      </c>
      <c r="B203" t="s">
        <v>454</v>
      </c>
      <c r="C203" t="s">
        <v>12</v>
      </c>
      <c r="D203" t="s">
        <v>25</v>
      </c>
      <c r="E203" t="s">
        <v>14</v>
      </c>
      <c r="F203">
        <v>57</v>
      </c>
      <c r="G203">
        <v>28</v>
      </c>
      <c r="H203">
        <v>21365</v>
      </c>
      <c r="I203" t="s">
        <v>30</v>
      </c>
      <c r="J203" t="s">
        <v>22</v>
      </c>
    </row>
    <row r="204" spans="1:10" x14ac:dyDescent="0.55000000000000004">
      <c r="A204" t="s">
        <v>455</v>
      </c>
      <c r="B204" t="s">
        <v>456</v>
      </c>
      <c r="C204" t="s">
        <v>55</v>
      </c>
      <c r="D204" t="s">
        <v>120</v>
      </c>
      <c r="E204" t="s">
        <v>29</v>
      </c>
      <c r="F204">
        <v>49</v>
      </c>
      <c r="G204">
        <v>11</v>
      </c>
      <c r="H204">
        <v>8774</v>
      </c>
      <c r="I204" t="s">
        <v>35</v>
      </c>
      <c r="J204" t="s">
        <v>36</v>
      </c>
    </row>
    <row r="205" spans="1:10" x14ac:dyDescent="0.55000000000000004">
      <c r="A205" t="s">
        <v>457</v>
      </c>
      <c r="B205" t="s">
        <v>458</v>
      </c>
      <c r="C205" t="s">
        <v>33</v>
      </c>
      <c r="D205" t="s">
        <v>93</v>
      </c>
      <c r="E205" t="s">
        <v>14</v>
      </c>
      <c r="F205">
        <v>31</v>
      </c>
      <c r="G205">
        <v>6</v>
      </c>
      <c r="H205">
        <v>6686</v>
      </c>
      <c r="I205" t="s">
        <v>30</v>
      </c>
      <c r="J205" t="s">
        <v>22</v>
      </c>
    </row>
    <row r="206" spans="1:10" x14ac:dyDescent="0.55000000000000004">
      <c r="A206" t="s">
        <v>459</v>
      </c>
      <c r="B206" t="s">
        <v>460</v>
      </c>
      <c r="C206" t="s">
        <v>61</v>
      </c>
      <c r="D206" t="s">
        <v>74</v>
      </c>
      <c r="E206" t="s">
        <v>29</v>
      </c>
      <c r="F206">
        <v>51</v>
      </c>
      <c r="G206">
        <v>22</v>
      </c>
      <c r="H206">
        <v>15852</v>
      </c>
      <c r="I206" t="s">
        <v>15</v>
      </c>
      <c r="J206" t="s">
        <v>36</v>
      </c>
    </row>
    <row r="207" spans="1:10" x14ac:dyDescent="0.55000000000000004">
      <c r="A207" t="s">
        <v>461</v>
      </c>
      <c r="B207" t="s">
        <v>462</v>
      </c>
      <c r="C207" t="s">
        <v>61</v>
      </c>
      <c r="D207" t="s">
        <v>62</v>
      </c>
      <c r="E207" t="s">
        <v>14</v>
      </c>
      <c r="F207">
        <v>50</v>
      </c>
      <c r="G207">
        <v>17</v>
      </c>
      <c r="H207">
        <v>9812</v>
      </c>
      <c r="I207" t="s">
        <v>52</v>
      </c>
      <c r="J207" t="s">
        <v>36</v>
      </c>
    </row>
    <row r="208" spans="1:10" x14ac:dyDescent="0.55000000000000004">
      <c r="A208" t="s">
        <v>463</v>
      </c>
      <c r="B208" t="s">
        <v>464</v>
      </c>
      <c r="C208" t="s">
        <v>43</v>
      </c>
      <c r="D208" t="s">
        <v>68</v>
      </c>
      <c r="E208" t="s">
        <v>29</v>
      </c>
      <c r="F208">
        <v>58</v>
      </c>
      <c r="G208">
        <v>30</v>
      </c>
      <c r="H208">
        <v>12796</v>
      </c>
      <c r="I208" t="s">
        <v>83</v>
      </c>
      <c r="J208" t="s">
        <v>22</v>
      </c>
    </row>
    <row r="209" spans="1:10" x14ac:dyDescent="0.55000000000000004">
      <c r="A209" t="s">
        <v>465</v>
      </c>
      <c r="B209" t="s">
        <v>466</v>
      </c>
      <c r="C209" t="s">
        <v>55</v>
      </c>
      <c r="D209" t="s">
        <v>120</v>
      </c>
      <c r="E209" t="s">
        <v>14</v>
      </c>
      <c r="F209">
        <v>48</v>
      </c>
      <c r="G209">
        <v>1</v>
      </c>
      <c r="H209">
        <v>5622</v>
      </c>
      <c r="I209" t="s">
        <v>52</v>
      </c>
      <c r="J209" t="s">
        <v>40</v>
      </c>
    </row>
    <row r="210" spans="1:10" x14ac:dyDescent="0.55000000000000004">
      <c r="A210" t="s">
        <v>467</v>
      </c>
      <c r="B210" t="s">
        <v>468</v>
      </c>
      <c r="C210" t="s">
        <v>43</v>
      </c>
      <c r="D210" t="s">
        <v>147</v>
      </c>
      <c r="E210" t="s">
        <v>14</v>
      </c>
      <c r="F210">
        <v>59</v>
      </c>
      <c r="G210">
        <v>15</v>
      </c>
      <c r="H210">
        <v>8641</v>
      </c>
      <c r="I210" t="s">
        <v>83</v>
      </c>
      <c r="J210" t="s">
        <v>16</v>
      </c>
    </row>
    <row r="211" spans="1:10" x14ac:dyDescent="0.55000000000000004">
      <c r="A211" t="s">
        <v>469</v>
      </c>
      <c r="B211" t="s">
        <v>470</v>
      </c>
      <c r="C211" t="s">
        <v>43</v>
      </c>
      <c r="D211" t="s">
        <v>44</v>
      </c>
      <c r="E211" t="s">
        <v>14</v>
      </c>
      <c r="F211">
        <v>44</v>
      </c>
      <c r="G211">
        <v>22</v>
      </c>
      <c r="H211">
        <v>12584</v>
      </c>
      <c r="I211" t="s">
        <v>90</v>
      </c>
      <c r="J211" t="s">
        <v>40</v>
      </c>
    </row>
    <row r="212" spans="1:10" x14ac:dyDescent="0.55000000000000004">
      <c r="A212" t="s">
        <v>471</v>
      </c>
      <c r="B212" t="s">
        <v>472</v>
      </c>
      <c r="C212" t="s">
        <v>55</v>
      </c>
      <c r="D212" t="s">
        <v>120</v>
      </c>
      <c r="E212" t="s">
        <v>14</v>
      </c>
      <c r="F212">
        <v>37</v>
      </c>
      <c r="G212">
        <v>0</v>
      </c>
      <c r="H212">
        <v>4373</v>
      </c>
      <c r="I212" t="s">
        <v>35</v>
      </c>
      <c r="J212" t="s">
        <v>22</v>
      </c>
    </row>
    <row r="213" spans="1:10" x14ac:dyDescent="0.55000000000000004">
      <c r="A213" t="s">
        <v>473</v>
      </c>
      <c r="B213" t="s">
        <v>474</v>
      </c>
      <c r="C213" t="s">
        <v>55</v>
      </c>
      <c r="D213" t="s">
        <v>80</v>
      </c>
      <c r="E213" t="s">
        <v>14</v>
      </c>
      <c r="F213">
        <v>38</v>
      </c>
      <c r="G213">
        <v>1</v>
      </c>
      <c r="H213">
        <v>5099</v>
      </c>
      <c r="I213" t="s">
        <v>21</v>
      </c>
      <c r="J213" t="s">
        <v>40</v>
      </c>
    </row>
    <row r="214" spans="1:10" x14ac:dyDescent="0.55000000000000004">
      <c r="A214" t="s">
        <v>475</v>
      </c>
      <c r="B214" t="s">
        <v>476</v>
      </c>
      <c r="C214" t="s">
        <v>12</v>
      </c>
      <c r="D214" t="s">
        <v>13</v>
      </c>
      <c r="E214" t="s">
        <v>29</v>
      </c>
      <c r="F214">
        <v>44</v>
      </c>
      <c r="G214">
        <v>15</v>
      </c>
      <c r="H214">
        <v>13338</v>
      </c>
      <c r="I214" t="s">
        <v>90</v>
      </c>
      <c r="J214" t="s">
        <v>40</v>
      </c>
    </row>
    <row r="215" spans="1:10" x14ac:dyDescent="0.55000000000000004">
      <c r="A215" t="s">
        <v>477</v>
      </c>
      <c r="B215" t="s">
        <v>478</v>
      </c>
      <c r="C215" t="s">
        <v>12</v>
      </c>
      <c r="D215" t="s">
        <v>25</v>
      </c>
      <c r="E215" t="s">
        <v>14</v>
      </c>
      <c r="F215">
        <v>34</v>
      </c>
      <c r="G215">
        <v>8</v>
      </c>
      <c r="H215">
        <v>10279</v>
      </c>
      <c r="I215" t="s">
        <v>30</v>
      </c>
      <c r="J215" t="s">
        <v>22</v>
      </c>
    </row>
    <row r="216" spans="1:10" x14ac:dyDescent="0.55000000000000004">
      <c r="A216" t="s">
        <v>479</v>
      </c>
      <c r="B216" t="s">
        <v>480</v>
      </c>
      <c r="C216" t="s">
        <v>19</v>
      </c>
      <c r="D216" t="s">
        <v>39</v>
      </c>
      <c r="E216" t="s">
        <v>14</v>
      </c>
      <c r="F216">
        <v>46</v>
      </c>
      <c r="G216">
        <v>11</v>
      </c>
      <c r="H216">
        <v>12751</v>
      </c>
      <c r="I216" t="s">
        <v>35</v>
      </c>
      <c r="J216" t="s">
        <v>22</v>
      </c>
    </row>
    <row r="217" spans="1:10" x14ac:dyDescent="0.55000000000000004">
      <c r="A217" t="s">
        <v>481</v>
      </c>
      <c r="B217" t="s">
        <v>482</v>
      </c>
      <c r="C217" t="s">
        <v>43</v>
      </c>
      <c r="D217" t="s">
        <v>147</v>
      </c>
      <c r="E217" t="s">
        <v>29</v>
      </c>
      <c r="F217">
        <v>44</v>
      </c>
      <c r="G217">
        <v>9</v>
      </c>
      <c r="H217">
        <v>9306</v>
      </c>
      <c r="I217" t="s">
        <v>21</v>
      </c>
      <c r="J217" t="s">
        <v>16</v>
      </c>
    </row>
    <row r="218" spans="1:10" x14ac:dyDescent="0.55000000000000004">
      <c r="A218" t="s">
        <v>483</v>
      </c>
      <c r="B218" t="s">
        <v>484</v>
      </c>
      <c r="C218" t="s">
        <v>55</v>
      </c>
      <c r="D218" t="s">
        <v>80</v>
      </c>
      <c r="E218" t="s">
        <v>29</v>
      </c>
      <c r="F218">
        <v>45</v>
      </c>
      <c r="G218">
        <v>8</v>
      </c>
      <c r="H218">
        <v>6973</v>
      </c>
      <c r="I218" t="s">
        <v>90</v>
      </c>
      <c r="J218" t="s">
        <v>36</v>
      </c>
    </row>
    <row r="219" spans="1:10" x14ac:dyDescent="0.55000000000000004">
      <c r="A219" t="s">
        <v>485</v>
      </c>
      <c r="B219" t="s">
        <v>486</v>
      </c>
      <c r="C219" t="s">
        <v>33</v>
      </c>
      <c r="D219" t="s">
        <v>93</v>
      </c>
      <c r="E219" t="s">
        <v>14</v>
      </c>
      <c r="F219">
        <v>53</v>
      </c>
      <c r="G219">
        <v>5</v>
      </c>
      <c r="H219">
        <v>6154</v>
      </c>
      <c r="I219" t="s">
        <v>35</v>
      </c>
      <c r="J219" t="s">
        <v>16</v>
      </c>
    </row>
    <row r="220" spans="1:10" x14ac:dyDescent="0.55000000000000004">
      <c r="A220" t="s">
        <v>487</v>
      </c>
      <c r="B220" t="s">
        <v>488</v>
      </c>
      <c r="C220" t="s">
        <v>33</v>
      </c>
      <c r="D220" t="s">
        <v>77</v>
      </c>
      <c r="E220" t="s">
        <v>29</v>
      </c>
      <c r="F220">
        <v>54</v>
      </c>
      <c r="G220">
        <v>26</v>
      </c>
      <c r="H220">
        <v>12767</v>
      </c>
      <c r="I220" t="s">
        <v>52</v>
      </c>
      <c r="J220" t="s">
        <v>22</v>
      </c>
    </row>
    <row r="221" spans="1:10" x14ac:dyDescent="0.55000000000000004">
      <c r="A221" t="s">
        <v>489</v>
      </c>
      <c r="B221" t="s">
        <v>490</v>
      </c>
      <c r="C221" t="s">
        <v>33</v>
      </c>
      <c r="D221" t="s">
        <v>34</v>
      </c>
      <c r="E221" t="s">
        <v>14</v>
      </c>
      <c r="F221">
        <v>54</v>
      </c>
      <c r="G221">
        <v>26</v>
      </c>
      <c r="H221">
        <v>17728</v>
      </c>
      <c r="I221" t="s">
        <v>83</v>
      </c>
      <c r="J221" t="s">
        <v>22</v>
      </c>
    </row>
    <row r="222" spans="1:10" x14ac:dyDescent="0.55000000000000004">
      <c r="A222" t="s">
        <v>491</v>
      </c>
      <c r="B222" t="s">
        <v>492</v>
      </c>
      <c r="C222" t="s">
        <v>61</v>
      </c>
      <c r="D222" t="s">
        <v>188</v>
      </c>
      <c r="E222" t="s">
        <v>29</v>
      </c>
      <c r="F222">
        <v>35</v>
      </c>
      <c r="G222">
        <v>10</v>
      </c>
      <c r="H222">
        <v>7597</v>
      </c>
      <c r="I222" t="s">
        <v>90</v>
      </c>
      <c r="J222" t="s">
        <v>40</v>
      </c>
    </row>
    <row r="223" spans="1:10" x14ac:dyDescent="0.55000000000000004">
      <c r="A223" t="s">
        <v>493</v>
      </c>
      <c r="B223" t="s">
        <v>494</v>
      </c>
      <c r="C223" t="s">
        <v>55</v>
      </c>
      <c r="D223" t="s">
        <v>80</v>
      </c>
      <c r="E223" t="s">
        <v>14</v>
      </c>
      <c r="F223">
        <v>46</v>
      </c>
      <c r="G223">
        <v>15</v>
      </c>
      <c r="H223">
        <v>12691</v>
      </c>
      <c r="I223" t="s">
        <v>30</v>
      </c>
      <c r="J223" t="s">
        <v>36</v>
      </c>
    </row>
    <row r="224" spans="1:10" x14ac:dyDescent="0.55000000000000004">
      <c r="A224" t="s">
        <v>495</v>
      </c>
      <c r="B224" t="s">
        <v>496</v>
      </c>
      <c r="C224" t="s">
        <v>19</v>
      </c>
      <c r="D224" t="s">
        <v>51</v>
      </c>
      <c r="E224" t="s">
        <v>29</v>
      </c>
      <c r="F224">
        <v>31</v>
      </c>
      <c r="G224">
        <v>4</v>
      </c>
      <c r="H224">
        <v>10443</v>
      </c>
      <c r="I224" t="s">
        <v>35</v>
      </c>
      <c r="J224" t="s">
        <v>40</v>
      </c>
    </row>
    <row r="225" spans="1:10" x14ac:dyDescent="0.55000000000000004">
      <c r="A225" t="s">
        <v>497</v>
      </c>
      <c r="B225" t="s">
        <v>498</v>
      </c>
      <c r="C225" t="s">
        <v>43</v>
      </c>
      <c r="D225" t="s">
        <v>147</v>
      </c>
      <c r="E225" t="s">
        <v>29</v>
      </c>
      <c r="F225">
        <v>45</v>
      </c>
      <c r="G225">
        <v>13</v>
      </c>
      <c r="H225">
        <v>10457</v>
      </c>
      <c r="I225" t="s">
        <v>30</v>
      </c>
      <c r="J225" t="s">
        <v>22</v>
      </c>
    </row>
    <row r="226" spans="1:10" x14ac:dyDescent="0.55000000000000004">
      <c r="A226" t="s">
        <v>499</v>
      </c>
      <c r="B226" t="s">
        <v>500</v>
      </c>
      <c r="C226" t="s">
        <v>19</v>
      </c>
      <c r="D226" t="s">
        <v>51</v>
      </c>
      <c r="E226" t="s">
        <v>29</v>
      </c>
      <c r="F226">
        <v>30</v>
      </c>
      <c r="G226">
        <v>6</v>
      </c>
      <c r="H226">
        <v>10154</v>
      </c>
      <c r="I226" t="s">
        <v>52</v>
      </c>
      <c r="J226" t="s">
        <v>40</v>
      </c>
    </row>
    <row r="227" spans="1:10" x14ac:dyDescent="0.55000000000000004">
      <c r="A227" t="s">
        <v>501</v>
      </c>
      <c r="B227" t="s">
        <v>502</v>
      </c>
      <c r="C227" t="s">
        <v>12</v>
      </c>
      <c r="D227" t="s">
        <v>25</v>
      </c>
      <c r="E227" t="s">
        <v>29</v>
      </c>
      <c r="F227">
        <v>48</v>
      </c>
      <c r="G227">
        <v>0</v>
      </c>
      <c r="H227">
        <v>7473</v>
      </c>
      <c r="I227" t="s">
        <v>90</v>
      </c>
      <c r="J227" t="s">
        <v>16</v>
      </c>
    </row>
    <row r="228" spans="1:10" x14ac:dyDescent="0.55000000000000004">
      <c r="A228" t="s">
        <v>503</v>
      </c>
      <c r="B228" t="s">
        <v>504</v>
      </c>
      <c r="C228" t="s">
        <v>12</v>
      </c>
      <c r="D228" t="s">
        <v>28</v>
      </c>
      <c r="E228" t="s">
        <v>29</v>
      </c>
      <c r="F228">
        <v>53</v>
      </c>
      <c r="G228">
        <v>3</v>
      </c>
      <c r="H228">
        <v>8350</v>
      </c>
      <c r="I228" t="s">
        <v>83</v>
      </c>
      <c r="J228" t="s">
        <v>40</v>
      </c>
    </row>
    <row r="229" spans="1:10" x14ac:dyDescent="0.55000000000000004">
      <c r="A229" t="s">
        <v>505</v>
      </c>
      <c r="B229" t="s">
        <v>506</v>
      </c>
      <c r="C229" t="s">
        <v>12</v>
      </c>
      <c r="D229" t="s">
        <v>28</v>
      </c>
      <c r="E229" t="s">
        <v>29</v>
      </c>
      <c r="F229">
        <v>40</v>
      </c>
      <c r="G229">
        <v>18</v>
      </c>
      <c r="H229">
        <v>13022</v>
      </c>
      <c r="I229" t="s">
        <v>52</v>
      </c>
      <c r="J229" t="s">
        <v>22</v>
      </c>
    </row>
    <row r="230" spans="1:10" x14ac:dyDescent="0.55000000000000004">
      <c r="A230" t="s">
        <v>507</v>
      </c>
      <c r="B230" t="s">
        <v>508</v>
      </c>
      <c r="C230" t="s">
        <v>47</v>
      </c>
      <c r="D230" t="s">
        <v>48</v>
      </c>
      <c r="E230" t="s">
        <v>29</v>
      </c>
      <c r="F230">
        <v>56</v>
      </c>
      <c r="G230">
        <v>24</v>
      </c>
      <c r="H230">
        <v>13016</v>
      </c>
      <c r="I230" t="s">
        <v>15</v>
      </c>
      <c r="J230" t="s">
        <v>36</v>
      </c>
    </row>
    <row r="231" spans="1:10" x14ac:dyDescent="0.55000000000000004">
      <c r="A231" t="s">
        <v>509</v>
      </c>
      <c r="B231" t="s">
        <v>510</v>
      </c>
      <c r="C231" t="s">
        <v>47</v>
      </c>
      <c r="D231" t="s">
        <v>48</v>
      </c>
      <c r="E231" t="s">
        <v>14</v>
      </c>
      <c r="F231">
        <v>45</v>
      </c>
      <c r="G231">
        <v>3</v>
      </c>
      <c r="H231">
        <v>7272</v>
      </c>
      <c r="I231" t="s">
        <v>90</v>
      </c>
      <c r="J231" t="s">
        <v>22</v>
      </c>
    </row>
    <row r="232" spans="1:10" x14ac:dyDescent="0.55000000000000004">
      <c r="A232" t="s">
        <v>511</v>
      </c>
      <c r="B232" t="s">
        <v>512</v>
      </c>
      <c r="C232" t="s">
        <v>55</v>
      </c>
      <c r="D232" t="s">
        <v>80</v>
      </c>
      <c r="E232" t="s">
        <v>14</v>
      </c>
      <c r="F232">
        <v>48</v>
      </c>
      <c r="G232">
        <v>12</v>
      </c>
      <c r="H232">
        <v>9902</v>
      </c>
      <c r="I232" t="s">
        <v>83</v>
      </c>
      <c r="J232" t="s">
        <v>22</v>
      </c>
    </row>
    <row r="233" spans="1:10" x14ac:dyDescent="0.55000000000000004">
      <c r="A233" t="s">
        <v>513</v>
      </c>
      <c r="B233" t="s">
        <v>514</v>
      </c>
      <c r="C233" t="s">
        <v>33</v>
      </c>
      <c r="D233" t="s">
        <v>77</v>
      </c>
      <c r="E233" t="s">
        <v>29</v>
      </c>
      <c r="F233">
        <v>25</v>
      </c>
      <c r="G233">
        <v>0</v>
      </c>
      <c r="H233">
        <v>4160</v>
      </c>
      <c r="I233" t="s">
        <v>83</v>
      </c>
      <c r="J233" t="s">
        <v>22</v>
      </c>
    </row>
    <row r="234" spans="1:10" x14ac:dyDescent="0.55000000000000004">
      <c r="A234" t="s">
        <v>515</v>
      </c>
      <c r="B234" t="s">
        <v>516</v>
      </c>
      <c r="C234" t="s">
        <v>33</v>
      </c>
      <c r="D234" t="s">
        <v>93</v>
      </c>
      <c r="E234" t="s">
        <v>14</v>
      </c>
      <c r="F234">
        <v>54</v>
      </c>
      <c r="G234">
        <v>14</v>
      </c>
      <c r="H234">
        <v>8058</v>
      </c>
      <c r="I234" t="s">
        <v>83</v>
      </c>
      <c r="J234" t="s">
        <v>22</v>
      </c>
    </row>
    <row r="235" spans="1:10" x14ac:dyDescent="0.55000000000000004">
      <c r="A235" t="s">
        <v>517</v>
      </c>
      <c r="B235" t="s">
        <v>518</v>
      </c>
      <c r="C235" t="s">
        <v>55</v>
      </c>
      <c r="D235" t="s">
        <v>120</v>
      </c>
      <c r="E235" t="s">
        <v>29</v>
      </c>
      <c r="F235">
        <v>44</v>
      </c>
      <c r="G235">
        <v>13</v>
      </c>
      <c r="H235">
        <v>9406</v>
      </c>
      <c r="I235" t="s">
        <v>35</v>
      </c>
      <c r="J235" t="s">
        <v>22</v>
      </c>
    </row>
    <row r="236" spans="1:10" x14ac:dyDescent="0.55000000000000004">
      <c r="A236" t="s">
        <v>519</v>
      </c>
      <c r="B236" t="s">
        <v>520</v>
      </c>
      <c r="C236" t="s">
        <v>19</v>
      </c>
      <c r="D236" t="s">
        <v>39</v>
      </c>
      <c r="E236" t="s">
        <v>14</v>
      </c>
      <c r="F236">
        <v>59</v>
      </c>
      <c r="G236">
        <v>31</v>
      </c>
      <c r="H236">
        <v>15146</v>
      </c>
      <c r="I236" t="s">
        <v>83</v>
      </c>
      <c r="J236" t="s">
        <v>22</v>
      </c>
    </row>
    <row r="237" spans="1:10" x14ac:dyDescent="0.55000000000000004">
      <c r="A237" t="s">
        <v>521</v>
      </c>
      <c r="B237" t="s">
        <v>522</v>
      </c>
      <c r="C237" t="s">
        <v>61</v>
      </c>
      <c r="D237" t="s">
        <v>62</v>
      </c>
      <c r="E237" t="s">
        <v>14</v>
      </c>
      <c r="F237">
        <v>59</v>
      </c>
      <c r="G237">
        <v>1</v>
      </c>
      <c r="H237">
        <v>6546</v>
      </c>
      <c r="I237" t="s">
        <v>90</v>
      </c>
      <c r="J237" t="s">
        <v>22</v>
      </c>
    </row>
    <row r="238" spans="1:10" x14ac:dyDescent="0.55000000000000004">
      <c r="A238" t="s">
        <v>523</v>
      </c>
      <c r="B238" t="s">
        <v>524</v>
      </c>
      <c r="C238" t="s">
        <v>47</v>
      </c>
      <c r="D238" t="s">
        <v>71</v>
      </c>
      <c r="E238" t="s">
        <v>14</v>
      </c>
      <c r="F238">
        <v>22</v>
      </c>
      <c r="G238">
        <v>1</v>
      </c>
      <c r="H238">
        <v>5350</v>
      </c>
      <c r="I238" t="s">
        <v>52</v>
      </c>
      <c r="J238" t="s">
        <v>36</v>
      </c>
    </row>
    <row r="239" spans="1:10" x14ac:dyDescent="0.55000000000000004">
      <c r="A239" t="s">
        <v>525</v>
      </c>
      <c r="B239" t="s">
        <v>526</v>
      </c>
      <c r="C239" t="s">
        <v>55</v>
      </c>
      <c r="D239" t="s">
        <v>80</v>
      </c>
      <c r="E239" t="s">
        <v>14</v>
      </c>
      <c r="F239">
        <v>46</v>
      </c>
      <c r="G239">
        <v>8</v>
      </c>
      <c r="H239">
        <v>7256</v>
      </c>
      <c r="I239" t="s">
        <v>30</v>
      </c>
      <c r="J239" t="s">
        <v>22</v>
      </c>
    </row>
    <row r="240" spans="1:10" x14ac:dyDescent="0.55000000000000004">
      <c r="A240" t="s">
        <v>527</v>
      </c>
      <c r="B240" t="s">
        <v>528</v>
      </c>
      <c r="C240" t="s">
        <v>12</v>
      </c>
      <c r="D240" t="s">
        <v>13</v>
      </c>
      <c r="E240" t="s">
        <v>29</v>
      </c>
      <c r="F240">
        <v>56</v>
      </c>
      <c r="G240">
        <v>34</v>
      </c>
      <c r="H240">
        <v>24567</v>
      </c>
      <c r="I240" t="s">
        <v>21</v>
      </c>
      <c r="J240" t="s">
        <v>36</v>
      </c>
    </row>
    <row r="241" spans="1:10" x14ac:dyDescent="0.55000000000000004">
      <c r="A241" t="s">
        <v>529</v>
      </c>
      <c r="B241" t="s">
        <v>530</v>
      </c>
      <c r="C241" t="s">
        <v>33</v>
      </c>
      <c r="D241" t="s">
        <v>77</v>
      </c>
      <c r="E241" t="s">
        <v>14</v>
      </c>
      <c r="F241">
        <v>50</v>
      </c>
      <c r="G241">
        <v>19</v>
      </c>
      <c r="H241">
        <v>10673</v>
      </c>
      <c r="I241" t="s">
        <v>90</v>
      </c>
      <c r="J241" t="s">
        <v>36</v>
      </c>
    </row>
    <row r="242" spans="1:10" x14ac:dyDescent="0.55000000000000004">
      <c r="A242" t="s">
        <v>531</v>
      </c>
      <c r="B242" t="s">
        <v>532</v>
      </c>
      <c r="C242" t="s">
        <v>43</v>
      </c>
      <c r="D242" t="s">
        <v>147</v>
      </c>
      <c r="E242" t="s">
        <v>29</v>
      </c>
      <c r="F242">
        <v>39</v>
      </c>
      <c r="G242">
        <v>2</v>
      </c>
      <c r="H242">
        <v>6194</v>
      </c>
      <c r="I242" t="s">
        <v>21</v>
      </c>
      <c r="J242" t="s">
        <v>40</v>
      </c>
    </row>
    <row r="243" spans="1:10" x14ac:dyDescent="0.55000000000000004">
      <c r="A243" t="s">
        <v>533</v>
      </c>
      <c r="B243" t="s">
        <v>534</v>
      </c>
      <c r="C243" t="s">
        <v>47</v>
      </c>
      <c r="D243" t="s">
        <v>71</v>
      </c>
      <c r="E243" t="s">
        <v>29</v>
      </c>
      <c r="F243">
        <v>46</v>
      </c>
      <c r="G243">
        <v>9</v>
      </c>
      <c r="H243">
        <v>7924</v>
      </c>
      <c r="I243" t="s">
        <v>15</v>
      </c>
      <c r="J243" t="s">
        <v>40</v>
      </c>
    </row>
    <row r="244" spans="1:10" x14ac:dyDescent="0.55000000000000004">
      <c r="A244" t="s">
        <v>535</v>
      </c>
      <c r="B244" t="s">
        <v>536</v>
      </c>
      <c r="C244" t="s">
        <v>61</v>
      </c>
      <c r="D244" t="s">
        <v>74</v>
      </c>
      <c r="E244" t="s">
        <v>29</v>
      </c>
      <c r="F244">
        <v>38</v>
      </c>
      <c r="G244">
        <v>17</v>
      </c>
      <c r="H244">
        <v>11088</v>
      </c>
      <c r="I244" t="s">
        <v>15</v>
      </c>
      <c r="J244" t="s">
        <v>36</v>
      </c>
    </row>
    <row r="245" spans="1:10" x14ac:dyDescent="0.55000000000000004">
      <c r="A245" t="s">
        <v>537</v>
      </c>
      <c r="B245" t="s">
        <v>538</v>
      </c>
      <c r="C245" t="s">
        <v>55</v>
      </c>
      <c r="D245" t="s">
        <v>80</v>
      </c>
      <c r="E245" t="s">
        <v>29</v>
      </c>
      <c r="F245">
        <v>50</v>
      </c>
      <c r="G245">
        <v>13</v>
      </c>
      <c r="H245">
        <v>8490</v>
      </c>
      <c r="I245" t="s">
        <v>21</v>
      </c>
      <c r="J245" t="s">
        <v>22</v>
      </c>
    </row>
    <row r="246" spans="1:10" x14ac:dyDescent="0.55000000000000004">
      <c r="A246" t="s">
        <v>539</v>
      </c>
      <c r="B246" t="s">
        <v>540</v>
      </c>
      <c r="C246" t="s">
        <v>19</v>
      </c>
      <c r="D246" t="s">
        <v>20</v>
      </c>
      <c r="E246" t="s">
        <v>14</v>
      </c>
      <c r="F246">
        <v>44</v>
      </c>
      <c r="G246">
        <v>18</v>
      </c>
      <c r="H246">
        <v>11962</v>
      </c>
      <c r="I246" t="s">
        <v>15</v>
      </c>
      <c r="J246" t="s">
        <v>22</v>
      </c>
    </row>
    <row r="247" spans="1:10" x14ac:dyDescent="0.55000000000000004">
      <c r="A247" t="s">
        <v>541</v>
      </c>
      <c r="B247" t="s">
        <v>542</v>
      </c>
      <c r="C247" t="s">
        <v>47</v>
      </c>
      <c r="D247" t="s">
        <v>65</v>
      </c>
      <c r="E247" t="s">
        <v>14</v>
      </c>
      <c r="F247">
        <v>46</v>
      </c>
      <c r="G247">
        <v>12</v>
      </c>
      <c r="H247">
        <v>10975</v>
      </c>
      <c r="I247" t="s">
        <v>83</v>
      </c>
      <c r="J247" t="s">
        <v>40</v>
      </c>
    </row>
    <row r="248" spans="1:10" x14ac:dyDescent="0.55000000000000004">
      <c r="A248" t="s">
        <v>543</v>
      </c>
      <c r="B248" t="s">
        <v>544</v>
      </c>
      <c r="C248" t="s">
        <v>47</v>
      </c>
      <c r="D248" t="s">
        <v>48</v>
      </c>
      <c r="E248" t="s">
        <v>14</v>
      </c>
      <c r="F248">
        <v>27</v>
      </c>
      <c r="G248">
        <v>3</v>
      </c>
      <c r="H248">
        <v>5658</v>
      </c>
      <c r="I248" t="s">
        <v>90</v>
      </c>
      <c r="J248" t="s">
        <v>22</v>
      </c>
    </row>
    <row r="249" spans="1:10" x14ac:dyDescent="0.55000000000000004">
      <c r="A249" t="s">
        <v>545</v>
      </c>
      <c r="B249" t="s">
        <v>546</v>
      </c>
      <c r="C249" t="s">
        <v>33</v>
      </c>
      <c r="D249" t="s">
        <v>34</v>
      </c>
      <c r="E249" t="s">
        <v>14</v>
      </c>
      <c r="F249">
        <v>39</v>
      </c>
      <c r="G249">
        <v>16</v>
      </c>
      <c r="H249">
        <v>11512</v>
      </c>
      <c r="I249" t="s">
        <v>83</v>
      </c>
      <c r="J249" t="s">
        <v>36</v>
      </c>
    </row>
    <row r="250" spans="1:10" x14ac:dyDescent="0.55000000000000004">
      <c r="A250" t="s">
        <v>547</v>
      </c>
      <c r="B250" t="s">
        <v>548</v>
      </c>
      <c r="C250" t="s">
        <v>47</v>
      </c>
      <c r="D250" t="s">
        <v>65</v>
      </c>
      <c r="E250" t="s">
        <v>29</v>
      </c>
      <c r="F250">
        <v>51</v>
      </c>
      <c r="G250">
        <v>30</v>
      </c>
      <c r="H250">
        <v>18606</v>
      </c>
      <c r="I250" t="s">
        <v>21</v>
      </c>
      <c r="J250" t="s">
        <v>36</v>
      </c>
    </row>
    <row r="251" spans="1:10" x14ac:dyDescent="0.55000000000000004">
      <c r="A251" t="s">
        <v>549</v>
      </c>
      <c r="B251" t="s">
        <v>550</v>
      </c>
      <c r="C251" t="s">
        <v>47</v>
      </c>
      <c r="D251" t="s">
        <v>48</v>
      </c>
      <c r="E251" t="s">
        <v>29</v>
      </c>
      <c r="F251">
        <v>46</v>
      </c>
      <c r="G251">
        <v>9</v>
      </c>
      <c r="H251">
        <v>7344</v>
      </c>
      <c r="I251" t="s">
        <v>83</v>
      </c>
      <c r="J251" t="s">
        <v>22</v>
      </c>
    </row>
    <row r="252" spans="1:10" x14ac:dyDescent="0.55000000000000004">
      <c r="A252" t="s">
        <v>551</v>
      </c>
      <c r="B252" t="s">
        <v>552</v>
      </c>
      <c r="C252" t="s">
        <v>33</v>
      </c>
      <c r="D252" t="s">
        <v>77</v>
      </c>
      <c r="E252" t="s">
        <v>14</v>
      </c>
      <c r="F252">
        <v>48</v>
      </c>
      <c r="G252">
        <v>16</v>
      </c>
      <c r="H252">
        <v>10690</v>
      </c>
      <c r="I252" t="s">
        <v>90</v>
      </c>
      <c r="J252" t="s">
        <v>36</v>
      </c>
    </row>
    <row r="253" spans="1:10" x14ac:dyDescent="0.55000000000000004">
      <c r="A253" t="s">
        <v>553</v>
      </c>
      <c r="B253" t="s">
        <v>554</v>
      </c>
      <c r="C253" t="s">
        <v>55</v>
      </c>
      <c r="D253" t="s">
        <v>120</v>
      </c>
      <c r="E253" t="s">
        <v>29</v>
      </c>
      <c r="F253">
        <v>23</v>
      </c>
      <c r="G253">
        <v>1</v>
      </c>
      <c r="H253">
        <v>5888</v>
      </c>
      <c r="I253" t="s">
        <v>21</v>
      </c>
      <c r="J253" t="s">
        <v>16</v>
      </c>
    </row>
    <row r="254" spans="1:10" x14ac:dyDescent="0.55000000000000004">
      <c r="A254" t="s">
        <v>555</v>
      </c>
      <c r="B254" t="s">
        <v>556</v>
      </c>
      <c r="C254" t="s">
        <v>19</v>
      </c>
      <c r="D254" t="s">
        <v>39</v>
      </c>
      <c r="E254" t="s">
        <v>29</v>
      </c>
      <c r="F254">
        <v>40</v>
      </c>
      <c r="G254">
        <v>18</v>
      </c>
      <c r="H254">
        <v>15018</v>
      </c>
      <c r="I254" t="s">
        <v>21</v>
      </c>
      <c r="J254" t="s">
        <v>36</v>
      </c>
    </row>
    <row r="255" spans="1:10" x14ac:dyDescent="0.55000000000000004">
      <c r="A255" t="s">
        <v>557</v>
      </c>
      <c r="B255" t="s">
        <v>558</v>
      </c>
      <c r="C255" t="s">
        <v>33</v>
      </c>
      <c r="D255" t="s">
        <v>34</v>
      </c>
      <c r="E255" t="s">
        <v>14</v>
      </c>
      <c r="F255">
        <v>51</v>
      </c>
      <c r="G255">
        <v>25</v>
      </c>
      <c r="H255">
        <v>15597</v>
      </c>
      <c r="I255" t="s">
        <v>35</v>
      </c>
      <c r="J255" t="s">
        <v>36</v>
      </c>
    </row>
    <row r="256" spans="1:10" x14ac:dyDescent="0.55000000000000004">
      <c r="A256" t="s">
        <v>559</v>
      </c>
      <c r="B256" t="s">
        <v>560</v>
      </c>
      <c r="C256" t="s">
        <v>19</v>
      </c>
      <c r="D256" t="s">
        <v>51</v>
      </c>
      <c r="E256" t="s">
        <v>14</v>
      </c>
      <c r="F256">
        <v>52</v>
      </c>
      <c r="G256">
        <v>31</v>
      </c>
      <c r="H256">
        <v>18082</v>
      </c>
      <c r="I256" t="s">
        <v>83</v>
      </c>
      <c r="J256" t="s">
        <v>22</v>
      </c>
    </row>
    <row r="257" spans="1:10" x14ac:dyDescent="0.55000000000000004">
      <c r="A257" t="s">
        <v>561</v>
      </c>
      <c r="B257" t="s">
        <v>562</v>
      </c>
      <c r="C257" t="s">
        <v>33</v>
      </c>
      <c r="D257" t="s">
        <v>34</v>
      </c>
      <c r="E257" t="s">
        <v>29</v>
      </c>
      <c r="F257">
        <v>58</v>
      </c>
      <c r="G257">
        <v>0</v>
      </c>
      <c r="H257">
        <v>5920</v>
      </c>
      <c r="I257" t="s">
        <v>52</v>
      </c>
      <c r="J257" t="s">
        <v>36</v>
      </c>
    </row>
    <row r="258" spans="1:10" x14ac:dyDescent="0.55000000000000004">
      <c r="A258" t="s">
        <v>563</v>
      </c>
      <c r="B258" t="s">
        <v>564</v>
      </c>
      <c r="C258" t="s">
        <v>12</v>
      </c>
      <c r="D258" t="s">
        <v>13</v>
      </c>
      <c r="E258" t="s">
        <v>14</v>
      </c>
      <c r="F258">
        <v>25</v>
      </c>
      <c r="G258">
        <v>4</v>
      </c>
      <c r="H258">
        <v>9443</v>
      </c>
      <c r="I258" t="s">
        <v>90</v>
      </c>
      <c r="J258" t="s">
        <v>22</v>
      </c>
    </row>
    <row r="259" spans="1:10" x14ac:dyDescent="0.55000000000000004">
      <c r="A259" t="s">
        <v>565</v>
      </c>
      <c r="B259" t="s">
        <v>566</v>
      </c>
      <c r="C259" t="s">
        <v>55</v>
      </c>
      <c r="D259" t="s">
        <v>56</v>
      </c>
      <c r="E259" t="s">
        <v>29</v>
      </c>
      <c r="F259">
        <v>22</v>
      </c>
      <c r="G259">
        <v>1</v>
      </c>
      <c r="H259">
        <v>5215</v>
      </c>
      <c r="I259" t="s">
        <v>35</v>
      </c>
      <c r="J259" t="s">
        <v>40</v>
      </c>
    </row>
    <row r="260" spans="1:10" x14ac:dyDescent="0.55000000000000004">
      <c r="A260" t="s">
        <v>567</v>
      </c>
      <c r="B260" t="s">
        <v>568</v>
      </c>
      <c r="C260" t="s">
        <v>43</v>
      </c>
      <c r="D260" t="s">
        <v>68</v>
      </c>
      <c r="E260" t="s">
        <v>14</v>
      </c>
      <c r="F260">
        <v>30</v>
      </c>
      <c r="G260">
        <v>2</v>
      </c>
      <c r="H260">
        <v>6336</v>
      </c>
      <c r="I260" t="s">
        <v>83</v>
      </c>
      <c r="J260" t="s">
        <v>22</v>
      </c>
    </row>
    <row r="261" spans="1:10" x14ac:dyDescent="0.55000000000000004">
      <c r="A261" t="s">
        <v>569</v>
      </c>
      <c r="B261" t="s">
        <v>570</v>
      </c>
      <c r="C261" t="s">
        <v>43</v>
      </c>
      <c r="D261" t="s">
        <v>44</v>
      </c>
      <c r="E261" t="s">
        <v>29</v>
      </c>
      <c r="F261">
        <v>33</v>
      </c>
      <c r="G261">
        <v>2</v>
      </c>
      <c r="H261">
        <v>6144</v>
      </c>
      <c r="I261" t="s">
        <v>83</v>
      </c>
      <c r="J261" t="s">
        <v>22</v>
      </c>
    </row>
    <row r="262" spans="1:10" x14ac:dyDescent="0.55000000000000004">
      <c r="A262" t="s">
        <v>571</v>
      </c>
      <c r="B262" t="s">
        <v>572</v>
      </c>
      <c r="C262" t="s">
        <v>61</v>
      </c>
      <c r="D262" t="s">
        <v>188</v>
      </c>
      <c r="E262" t="s">
        <v>29</v>
      </c>
      <c r="F262">
        <v>42</v>
      </c>
      <c r="G262">
        <v>1</v>
      </c>
      <c r="H262">
        <v>5430</v>
      </c>
      <c r="I262" t="s">
        <v>21</v>
      </c>
      <c r="J262" t="s">
        <v>22</v>
      </c>
    </row>
    <row r="263" spans="1:10" x14ac:dyDescent="0.55000000000000004">
      <c r="A263" t="s">
        <v>573</v>
      </c>
      <c r="B263" t="s">
        <v>574</v>
      </c>
      <c r="C263" t="s">
        <v>19</v>
      </c>
      <c r="D263" t="s">
        <v>39</v>
      </c>
      <c r="E263" t="s">
        <v>14</v>
      </c>
      <c r="F263">
        <v>56</v>
      </c>
      <c r="G263">
        <v>0</v>
      </c>
      <c r="H263">
        <v>8335</v>
      </c>
      <c r="I263" t="s">
        <v>83</v>
      </c>
      <c r="J263" t="s">
        <v>40</v>
      </c>
    </row>
    <row r="264" spans="1:10" x14ac:dyDescent="0.55000000000000004">
      <c r="A264" t="s">
        <v>575</v>
      </c>
      <c r="B264" t="s">
        <v>576</v>
      </c>
      <c r="C264" t="s">
        <v>19</v>
      </c>
      <c r="D264" t="s">
        <v>39</v>
      </c>
      <c r="E264" t="s">
        <v>29</v>
      </c>
      <c r="F264">
        <v>31</v>
      </c>
      <c r="G264">
        <v>10</v>
      </c>
      <c r="H264">
        <v>10695</v>
      </c>
      <c r="I264" t="s">
        <v>90</v>
      </c>
      <c r="J264" t="s">
        <v>40</v>
      </c>
    </row>
    <row r="265" spans="1:10" x14ac:dyDescent="0.55000000000000004">
      <c r="A265" t="s">
        <v>577</v>
      </c>
      <c r="B265" t="s">
        <v>578</v>
      </c>
      <c r="C265" t="s">
        <v>61</v>
      </c>
      <c r="D265" t="s">
        <v>74</v>
      </c>
      <c r="E265" t="s">
        <v>29</v>
      </c>
      <c r="F265">
        <v>60</v>
      </c>
      <c r="G265">
        <v>37</v>
      </c>
      <c r="H265">
        <v>16899</v>
      </c>
      <c r="I265" t="s">
        <v>90</v>
      </c>
      <c r="J265" t="s">
        <v>22</v>
      </c>
    </row>
    <row r="266" spans="1:10" x14ac:dyDescent="0.55000000000000004">
      <c r="A266" t="s">
        <v>579</v>
      </c>
      <c r="B266" t="s">
        <v>580</v>
      </c>
      <c r="C266" t="s">
        <v>19</v>
      </c>
      <c r="D266" t="s">
        <v>51</v>
      </c>
      <c r="E266" t="s">
        <v>14</v>
      </c>
      <c r="F266">
        <v>50</v>
      </c>
      <c r="G266">
        <v>21</v>
      </c>
      <c r="H266">
        <v>12897</v>
      </c>
      <c r="I266" t="s">
        <v>90</v>
      </c>
      <c r="J266" t="s">
        <v>36</v>
      </c>
    </row>
    <row r="267" spans="1:10" x14ac:dyDescent="0.55000000000000004">
      <c r="A267" t="s">
        <v>581</v>
      </c>
      <c r="B267" t="s">
        <v>582</v>
      </c>
      <c r="C267" t="s">
        <v>19</v>
      </c>
      <c r="D267" t="s">
        <v>20</v>
      </c>
      <c r="E267" t="s">
        <v>14</v>
      </c>
      <c r="F267">
        <v>47</v>
      </c>
      <c r="G267">
        <v>13</v>
      </c>
      <c r="H267">
        <v>12296</v>
      </c>
      <c r="I267" t="s">
        <v>83</v>
      </c>
      <c r="J267" t="s">
        <v>22</v>
      </c>
    </row>
    <row r="268" spans="1:10" x14ac:dyDescent="0.55000000000000004">
      <c r="A268" t="s">
        <v>583</v>
      </c>
      <c r="B268" t="s">
        <v>584</v>
      </c>
      <c r="C268" t="s">
        <v>55</v>
      </c>
      <c r="D268" t="s">
        <v>56</v>
      </c>
      <c r="E268" t="s">
        <v>14</v>
      </c>
      <c r="F268">
        <v>23</v>
      </c>
      <c r="G268">
        <v>0</v>
      </c>
      <c r="H268">
        <v>5339</v>
      </c>
      <c r="I268" t="s">
        <v>30</v>
      </c>
      <c r="J268" t="s">
        <v>36</v>
      </c>
    </row>
    <row r="269" spans="1:10" x14ac:dyDescent="0.55000000000000004">
      <c r="A269" t="s">
        <v>585</v>
      </c>
      <c r="B269" t="s">
        <v>586</v>
      </c>
      <c r="C269" t="s">
        <v>43</v>
      </c>
      <c r="D269" t="s">
        <v>68</v>
      </c>
      <c r="E269" t="s">
        <v>29</v>
      </c>
      <c r="F269">
        <v>49</v>
      </c>
      <c r="G269">
        <v>15</v>
      </c>
      <c r="H269">
        <v>11338</v>
      </c>
      <c r="I269" t="s">
        <v>83</v>
      </c>
      <c r="J269" t="s">
        <v>16</v>
      </c>
    </row>
    <row r="270" spans="1:10" x14ac:dyDescent="0.55000000000000004">
      <c r="A270" t="s">
        <v>587</v>
      </c>
      <c r="B270" t="s">
        <v>588</v>
      </c>
      <c r="C270" t="s">
        <v>61</v>
      </c>
      <c r="D270" t="s">
        <v>188</v>
      </c>
      <c r="E270" t="s">
        <v>29</v>
      </c>
      <c r="F270">
        <v>25</v>
      </c>
      <c r="G270">
        <v>2</v>
      </c>
      <c r="H270">
        <v>5782</v>
      </c>
      <c r="I270" t="s">
        <v>52</v>
      </c>
      <c r="J270" t="s">
        <v>36</v>
      </c>
    </row>
    <row r="271" spans="1:10" x14ac:dyDescent="0.55000000000000004">
      <c r="A271" t="s">
        <v>589</v>
      </c>
      <c r="B271" t="s">
        <v>590</v>
      </c>
      <c r="C271" t="s">
        <v>61</v>
      </c>
      <c r="D271" t="s">
        <v>74</v>
      </c>
      <c r="E271" t="s">
        <v>29</v>
      </c>
      <c r="F271">
        <v>42</v>
      </c>
      <c r="G271">
        <v>19</v>
      </c>
      <c r="H271">
        <v>11458</v>
      </c>
      <c r="I271" t="s">
        <v>83</v>
      </c>
      <c r="J271" t="s">
        <v>22</v>
      </c>
    </row>
    <row r="272" spans="1:10" x14ac:dyDescent="0.55000000000000004">
      <c r="A272" t="s">
        <v>591</v>
      </c>
      <c r="B272" t="s">
        <v>592</v>
      </c>
      <c r="C272" t="s">
        <v>55</v>
      </c>
      <c r="D272" t="s">
        <v>80</v>
      </c>
      <c r="E272" t="s">
        <v>29</v>
      </c>
      <c r="F272">
        <v>53</v>
      </c>
      <c r="G272">
        <v>1</v>
      </c>
      <c r="H272">
        <v>5849</v>
      </c>
      <c r="I272" t="s">
        <v>35</v>
      </c>
      <c r="J272" t="s">
        <v>22</v>
      </c>
    </row>
    <row r="273" spans="1:10" x14ac:dyDescent="0.55000000000000004">
      <c r="A273" t="s">
        <v>593</v>
      </c>
      <c r="B273" t="s">
        <v>594</v>
      </c>
      <c r="C273" t="s">
        <v>19</v>
      </c>
      <c r="D273" t="s">
        <v>20</v>
      </c>
      <c r="E273" t="s">
        <v>29</v>
      </c>
      <c r="F273">
        <v>57</v>
      </c>
      <c r="G273">
        <v>3</v>
      </c>
      <c r="H273">
        <v>9152</v>
      </c>
      <c r="I273" t="s">
        <v>83</v>
      </c>
      <c r="J273" t="s">
        <v>40</v>
      </c>
    </row>
    <row r="274" spans="1:10" x14ac:dyDescent="0.55000000000000004">
      <c r="A274" t="s">
        <v>595</v>
      </c>
      <c r="B274" t="s">
        <v>596</v>
      </c>
      <c r="C274" t="s">
        <v>43</v>
      </c>
      <c r="D274" t="s">
        <v>147</v>
      </c>
      <c r="E274" t="s">
        <v>14</v>
      </c>
      <c r="F274">
        <v>26</v>
      </c>
      <c r="G274">
        <v>4</v>
      </c>
      <c r="H274">
        <v>6819</v>
      </c>
      <c r="I274" t="s">
        <v>90</v>
      </c>
      <c r="J274" t="s">
        <v>22</v>
      </c>
    </row>
    <row r="275" spans="1:10" x14ac:dyDescent="0.55000000000000004">
      <c r="A275" t="s">
        <v>597</v>
      </c>
      <c r="B275" t="s">
        <v>598</v>
      </c>
      <c r="C275" t="s">
        <v>12</v>
      </c>
      <c r="D275" t="s">
        <v>25</v>
      </c>
      <c r="E275" t="s">
        <v>14</v>
      </c>
      <c r="F275">
        <v>47</v>
      </c>
      <c r="G275">
        <v>24</v>
      </c>
      <c r="H275">
        <v>19848</v>
      </c>
      <c r="I275" t="s">
        <v>52</v>
      </c>
      <c r="J275" t="s">
        <v>22</v>
      </c>
    </row>
    <row r="276" spans="1:10" x14ac:dyDescent="0.55000000000000004">
      <c r="A276" t="s">
        <v>599</v>
      </c>
      <c r="B276" t="s">
        <v>600</v>
      </c>
      <c r="C276" t="s">
        <v>43</v>
      </c>
      <c r="D276" t="s">
        <v>44</v>
      </c>
      <c r="E276" t="s">
        <v>14</v>
      </c>
      <c r="F276">
        <v>53</v>
      </c>
      <c r="G276">
        <v>18</v>
      </c>
      <c r="H276">
        <v>9978</v>
      </c>
      <c r="I276" t="s">
        <v>21</v>
      </c>
      <c r="J276" t="s">
        <v>22</v>
      </c>
    </row>
    <row r="277" spans="1:10" x14ac:dyDescent="0.55000000000000004">
      <c r="A277" t="s">
        <v>601</v>
      </c>
      <c r="B277" t="s">
        <v>602</v>
      </c>
      <c r="C277" t="s">
        <v>61</v>
      </c>
      <c r="D277" t="s">
        <v>74</v>
      </c>
      <c r="E277" t="s">
        <v>29</v>
      </c>
      <c r="F277">
        <v>45</v>
      </c>
      <c r="G277">
        <v>11</v>
      </c>
      <c r="H277">
        <v>9838</v>
      </c>
      <c r="I277" t="s">
        <v>15</v>
      </c>
      <c r="J277" t="s">
        <v>22</v>
      </c>
    </row>
    <row r="278" spans="1:10" x14ac:dyDescent="0.55000000000000004">
      <c r="A278" t="s">
        <v>603</v>
      </c>
      <c r="B278" t="s">
        <v>604</v>
      </c>
      <c r="C278" t="s">
        <v>33</v>
      </c>
      <c r="D278" t="s">
        <v>93</v>
      </c>
      <c r="E278" t="s">
        <v>14</v>
      </c>
      <c r="F278">
        <v>33</v>
      </c>
      <c r="G278">
        <v>2</v>
      </c>
      <c r="H278">
        <v>5075</v>
      </c>
      <c r="I278" t="s">
        <v>21</v>
      </c>
      <c r="J278" t="s">
        <v>22</v>
      </c>
    </row>
    <row r="279" spans="1:10" x14ac:dyDescent="0.55000000000000004">
      <c r="A279" t="s">
        <v>605</v>
      </c>
      <c r="B279" t="s">
        <v>606</v>
      </c>
      <c r="C279" t="s">
        <v>47</v>
      </c>
      <c r="D279" t="s">
        <v>65</v>
      </c>
      <c r="E279" t="s">
        <v>29</v>
      </c>
      <c r="F279">
        <v>24</v>
      </c>
      <c r="G279">
        <v>0</v>
      </c>
      <c r="H279">
        <v>4882</v>
      </c>
      <c r="I279" t="s">
        <v>30</v>
      </c>
      <c r="J279" t="s">
        <v>40</v>
      </c>
    </row>
    <row r="280" spans="1:10" x14ac:dyDescent="0.55000000000000004">
      <c r="A280" t="s">
        <v>607</v>
      </c>
      <c r="B280" t="s">
        <v>608</v>
      </c>
      <c r="C280" t="s">
        <v>55</v>
      </c>
      <c r="D280" t="s">
        <v>80</v>
      </c>
      <c r="E280" t="s">
        <v>14</v>
      </c>
      <c r="F280">
        <v>46</v>
      </c>
      <c r="G280">
        <v>18</v>
      </c>
      <c r="H280">
        <v>12224</v>
      </c>
      <c r="I280" t="s">
        <v>35</v>
      </c>
      <c r="J280" t="s">
        <v>22</v>
      </c>
    </row>
    <row r="281" spans="1:10" x14ac:dyDescent="0.55000000000000004">
      <c r="A281" t="s">
        <v>609</v>
      </c>
      <c r="B281" t="s">
        <v>610</v>
      </c>
      <c r="C281" t="s">
        <v>61</v>
      </c>
      <c r="D281" t="s">
        <v>74</v>
      </c>
      <c r="E281" t="s">
        <v>29</v>
      </c>
      <c r="F281">
        <v>25</v>
      </c>
      <c r="G281">
        <v>2</v>
      </c>
      <c r="H281">
        <v>5778</v>
      </c>
      <c r="I281" t="s">
        <v>83</v>
      </c>
      <c r="J281" t="s">
        <v>22</v>
      </c>
    </row>
    <row r="282" spans="1:10" x14ac:dyDescent="0.55000000000000004">
      <c r="A282" t="s">
        <v>611</v>
      </c>
      <c r="B282" t="s">
        <v>612</v>
      </c>
      <c r="C282" t="s">
        <v>19</v>
      </c>
      <c r="D282" t="s">
        <v>20</v>
      </c>
      <c r="E282" t="s">
        <v>14</v>
      </c>
      <c r="F282">
        <v>30</v>
      </c>
      <c r="G282">
        <v>5</v>
      </c>
      <c r="H282">
        <v>10188</v>
      </c>
      <c r="I282" t="s">
        <v>90</v>
      </c>
      <c r="J282" t="s">
        <v>22</v>
      </c>
    </row>
    <row r="283" spans="1:10" x14ac:dyDescent="0.55000000000000004">
      <c r="A283" t="s">
        <v>613</v>
      </c>
      <c r="B283" t="s">
        <v>614</v>
      </c>
      <c r="C283" t="s">
        <v>47</v>
      </c>
      <c r="D283" t="s">
        <v>65</v>
      </c>
      <c r="E283" t="s">
        <v>14</v>
      </c>
      <c r="F283">
        <v>26</v>
      </c>
      <c r="G283">
        <v>1</v>
      </c>
      <c r="H283">
        <v>6962</v>
      </c>
      <c r="I283" t="s">
        <v>83</v>
      </c>
      <c r="J283" t="s">
        <v>22</v>
      </c>
    </row>
    <row r="284" spans="1:10" x14ac:dyDescent="0.55000000000000004">
      <c r="A284" t="s">
        <v>615</v>
      </c>
      <c r="B284" t="s">
        <v>616</v>
      </c>
      <c r="C284" t="s">
        <v>19</v>
      </c>
      <c r="D284" t="s">
        <v>39</v>
      </c>
      <c r="E284" t="s">
        <v>14</v>
      </c>
      <c r="F284">
        <v>34</v>
      </c>
      <c r="G284">
        <v>7</v>
      </c>
      <c r="H284">
        <v>12287</v>
      </c>
      <c r="I284" t="s">
        <v>83</v>
      </c>
      <c r="J284" t="s">
        <v>22</v>
      </c>
    </row>
    <row r="285" spans="1:10" x14ac:dyDescent="0.55000000000000004">
      <c r="A285" t="s">
        <v>617</v>
      </c>
      <c r="B285" t="s">
        <v>618</v>
      </c>
      <c r="C285" t="s">
        <v>47</v>
      </c>
      <c r="D285" t="s">
        <v>71</v>
      </c>
      <c r="E285" t="s">
        <v>14</v>
      </c>
      <c r="F285">
        <v>44</v>
      </c>
      <c r="G285">
        <v>4</v>
      </c>
      <c r="H285">
        <v>6215</v>
      </c>
      <c r="I285" t="s">
        <v>90</v>
      </c>
      <c r="J285" t="s">
        <v>22</v>
      </c>
    </row>
    <row r="286" spans="1:10" x14ac:dyDescent="0.55000000000000004">
      <c r="A286" t="s">
        <v>619</v>
      </c>
      <c r="B286" t="s">
        <v>620</v>
      </c>
      <c r="C286" t="s">
        <v>61</v>
      </c>
      <c r="D286" t="s">
        <v>62</v>
      </c>
      <c r="E286" t="s">
        <v>29</v>
      </c>
      <c r="F286">
        <v>47</v>
      </c>
      <c r="G286">
        <v>12</v>
      </c>
      <c r="H286">
        <v>8482</v>
      </c>
      <c r="I286" t="s">
        <v>35</v>
      </c>
      <c r="J286" t="s">
        <v>22</v>
      </c>
    </row>
    <row r="287" spans="1:10" x14ac:dyDescent="0.55000000000000004">
      <c r="A287" t="s">
        <v>621</v>
      </c>
      <c r="B287" t="s">
        <v>622</v>
      </c>
      <c r="C287" t="s">
        <v>19</v>
      </c>
      <c r="D287" t="s">
        <v>20</v>
      </c>
      <c r="E287" t="s">
        <v>29</v>
      </c>
      <c r="F287">
        <v>54</v>
      </c>
      <c r="G287">
        <v>3</v>
      </c>
      <c r="H287">
        <v>9900</v>
      </c>
      <c r="I287" t="s">
        <v>83</v>
      </c>
      <c r="J287" t="s">
        <v>22</v>
      </c>
    </row>
    <row r="288" spans="1:10" x14ac:dyDescent="0.55000000000000004">
      <c r="A288" t="s">
        <v>623</v>
      </c>
      <c r="B288" t="s">
        <v>624</v>
      </c>
      <c r="C288" t="s">
        <v>33</v>
      </c>
      <c r="D288" t="s">
        <v>93</v>
      </c>
      <c r="E288" t="s">
        <v>14</v>
      </c>
      <c r="F288">
        <v>45</v>
      </c>
      <c r="G288">
        <v>0</v>
      </c>
      <c r="H288">
        <v>4195</v>
      </c>
      <c r="I288" t="s">
        <v>52</v>
      </c>
      <c r="J288" t="s">
        <v>36</v>
      </c>
    </row>
    <row r="289" spans="1:10" x14ac:dyDescent="0.55000000000000004">
      <c r="A289" t="s">
        <v>625</v>
      </c>
      <c r="B289" t="s">
        <v>626</v>
      </c>
      <c r="C289" t="s">
        <v>19</v>
      </c>
      <c r="D289" t="s">
        <v>20</v>
      </c>
      <c r="E289" t="s">
        <v>14</v>
      </c>
      <c r="F289">
        <v>56</v>
      </c>
      <c r="G289">
        <v>1</v>
      </c>
      <c r="H289">
        <v>8486</v>
      </c>
      <c r="I289" t="s">
        <v>35</v>
      </c>
      <c r="J289" t="s">
        <v>36</v>
      </c>
    </row>
    <row r="290" spans="1:10" x14ac:dyDescent="0.55000000000000004">
      <c r="A290" t="s">
        <v>627</v>
      </c>
      <c r="B290" t="s">
        <v>628</v>
      </c>
      <c r="C290" t="s">
        <v>12</v>
      </c>
      <c r="D290" t="s">
        <v>25</v>
      </c>
      <c r="E290" t="s">
        <v>29</v>
      </c>
      <c r="F290">
        <v>51</v>
      </c>
      <c r="G290">
        <v>26</v>
      </c>
      <c r="H290">
        <v>19794</v>
      </c>
      <c r="I290" t="s">
        <v>35</v>
      </c>
      <c r="J290" t="s">
        <v>22</v>
      </c>
    </row>
    <row r="291" spans="1:10" x14ac:dyDescent="0.55000000000000004">
      <c r="A291" t="s">
        <v>629</v>
      </c>
      <c r="B291" t="s">
        <v>630</v>
      </c>
      <c r="C291" t="s">
        <v>19</v>
      </c>
      <c r="D291" t="s">
        <v>20</v>
      </c>
      <c r="E291" t="s">
        <v>29</v>
      </c>
      <c r="F291">
        <v>35</v>
      </c>
      <c r="G291">
        <v>10</v>
      </c>
      <c r="H291">
        <v>11836</v>
      </c>
      <c r="I291" t="s">
        <v>35</v>
      </c>
      <c r="J291" t="s">
        <v>22</v>
      </c>
    </row>
    <row r="292" spans="1:10" x14ac:dyDescent="0.55000000000000004">
      <c r="A292" t="s">
        <v>631</v>
      </c>
      <c r="B292" t="s">
        <v>632</v>
      </c>
      <c r="C292" t="s">
        <v>33</v>
      </c>
      <c r="D292" t="s">
        <v>77</v>
      </c>
      <c r="E292" t="s">
        <v>14</v>
      </c>
      <c r="F292">
        <v>58</v>
      </c>
      <c r="G292">
        <v>17</v>
      </c>
      <c r="H292">
        <v>11264</v>
      </c>
      <c r="I292" t="s">
        <v>90</v>
      </c>
      <c r="J292" t="s">
        <v>22</v>
      </c>
    </row>
    <row r="293" spans="1:10" x14ac:dyDescent="0.55000000000000004">
      <c r="A293" t="s">
        <v>633</v>
      </c>
      <c r="B293" t="s">
        <v>634</v>
      </c>
      <c r="C293" t="s">
        <v>55</v>
      </c>
      <c r="D293" t="s">
        <v>120</v>
      </c>
      <c r="E293" t="s">
        <v>14</v>
      </c>
      <c r="F293">
        <v>24</v>
      </c>
      <c r="G293">
        <v>1</v>
      </c>
      <c r="H293">
        <v>4700</v>
      </c>
      <c r="I293" t="s">
        <v>30</v>
      </c>
      <c r="J293" t="s">
        <v>22</v>
      </c>
    </row>
    <row r="294" spans="1:10" x14ac:dyDescent="0.55000000000000004">
      <c r="A294" t="s">
        <v>635</v>
      </c>
      <c r="B294" t="s">
        <v>636</v>
      </c>
      <c r="C294" t="s">
        <v>55</v>
      </c>
      <c r="D294" t="s">
        <v>80</v>
      </c>
      <c r="E294" t="s">
        <v>14</v>
      </c>
      <c r="F294">
        <v>32</v>
      </c>
      <c r="G294">
        <v>2</v>
      </c>
      <c r="H294">
        <v>5909</v>
      </c>
      <c r="I294" t="s">
        <v>52</v>
      </c>
      <c r="J294" t="s">
        <v>40</v>
      </c>
    </row>
    <row r="295" spans="1:10" x14ac:dyDescent="0.55000000000000004">
      <c r="A295" t="s">
        <v>637</v>
      </c>
      <c r="B295" t="s">
        <v>638</v>
      </c>
      <c r="C295" t="s">
        <v>12</v>
      </c>
      <c r="D295" t="s">
        <v>28</v>
      </c>
      <c r="E295" t="s">
        <v>29</v>
      </c>
      <c r="F295">
        <v>22</v>
      </c>
      <c r="G295">
        <v>1</v>
      </c>
      <c r="H295">
        <v>6830</v>
      </c>
      <c r="I295" t="s">
        <v>90</v>
      </c>
      <c r="J295" t="s">
        <v>22</v>
      </c>
    </row>
    <row r="296" spans="1:10" x14ac:dyDescent="0.55000000000000004">
      <c r="A296" t="s">
        <v>639</v>
      </c>
      <c r="B296" t="s">
        <v>640</v>
      </c>
      <c r="C296" t="s">
        <v>12</v>
      </c>
      <c r="D296" t="s">
        <v>28</v>
      </c>
      <c r="E296" t="s">
        <v>14</v>
      </c>
      <c r="F296">
        <v>27</v>
      </c>
      <c r="G296">
        <v>3</v>
      </c>
      <c r="H296">
        <v>9599</v>
      </c>
      <c r="I296" t="s">
        <v>21</v>
      </c>
      <c r="J296" t="s">
        <v>22</v>
      </c>
    </row>
    <row r="297" spans="1:10" x14ac:dyDescent="0.55000000000000004">
      <c r="A297" t="s">
        <v>641</v>
      </c>
      <c r="B297" t="s">
        <v>642</v>
      </c>
      <c r="C297" t="s">
        <v>55</v>
      </c>
      <c r="D297" t="s">
        <v>56</v>
      </c>
      <c r="E297" t="s">
        <v>29</v>
      </c>
      <c r="F297">
        <v>58</v>
      </c>
      <c r="G297">
        <v>27</v>
      </c>
      <c r="H297">
        <v>12989</v>
      </c>
      <c r="I297" t="s">
        <v>21</v>
      </c>
      <c r="J297" t="s">
        <v>40</v>
      </c>
    </row>
    <row r="298" spans="1:10" x14ac:dyDescent="0.55000000000000004">
      <c r="A298" t="s">
        <v>643</v>
      </c>
      <c r="B298" t="s">
        <v>644</v>
      </c>
      <c r="C298" t="s">
        <v>43</v>
      </c>
      <c r="D298" t="s">
        <v>44</v>
      </c>
      <c r="E298" t="s">
        <v>29</v>
      </c>
      <c r="F298">
        <v>50</v>
      </c>
      <c r="G298">
        <v>17</v>
      </c>
      <c r="H298">
        <v>10155</v>
      </c>
      <c r="I298" t="s">
        <v>30</v>
      </c>
      <c r="J298" t="s">
        <v>36</v>
      </c>
    </row>
    <row r="299" spans="1:10" x14ac:dyDescent="0.55000000000000004">
      <c r="A299" t="s">
        <v>645</v>
      </c>
      <c r="B299" t="s">
        <v>646</v>
      </c>
      <c r="C299" t="s">
        <v>12</v>
      </c>
      <c r="D299" t="s">
        <v>25</v>
      </c>
      <c r="E299" t="s">
        <v>29</v>
      </c>
      <c r="F299">
        <v>41</v>
      </c>
      <c r="G299">
        <v>17</v>
      </c>
      <c r="H299">
        <v>10360</v>
      </c>
      <c r="I299" t="s">
        <v>35</v>
      </c>
      <c r="J299" t="s">
        <v>40</v>
      </c>
    </row>
    <row r="300" spans="1:10" x14ac:dyDescent="0.55000000000000004">
      <c r="A300" t="s">
        <v>647</v>
      </c>
      <c r="B300" t="s">
        <v>648</v>
      </c>
      <c r="C300" t="s">
        <v>19</v>
      </c>
      <c r="D300" t="s">
        <v>51</v>
      </c>
      <c r="E300" t="s">
        <v>29</v>
      </c>
      <c r="F300">
        <v>33</v>
      </c>
      <c r="G300">
        <v>3</v>
      </c>
      <c r="H300">
        <v>8607</v>
      </c>
      <c r="I300" t="s">
        <v>15</v>
      </c>
      <c r="J300" t="s">
        <v>36</v>
      </c>
    </row>
    <row r="301" spans="1:10" x14ac:dyDescent="0.55000000000000004">
      <c r="A301" t="s">
        <v>649</v>
      </c>
      <c r="B301" t="s">
        <v>650</v>
      </c>
      <c r="C301" t="s">
        <v>55</v>
      </c>
      <c r="D301" t="s">
        <v>120</v>
      </c>
      <c r="E301" t="s">
        <v>14</v>
      </c>
      <c r="F301">
        <v>43</v>
      </c>
      <c r="G301">
        <v>16</v>
      </c>
      <c r="H301">
        <v>9884</v>
      </c>
      <c r="I301" t="s">
        <v>30</v>
      </c>
      <c r="J301" t="s">
        <v>40</v>
      </c>
    </row>
    <row r="302" spans="1:10" x14ac:dyDescent="0.55000000000000004">
      <c r="A302" t="s">
        <v>651</v>
      </c>
      <c r="B302" t="s">
        <v>652</v>
      </c>
      <c r="C302" t="s">
        <v>19</v>
      </c>
      <c r="D302" t="s">
        <v>39</v>
      </c>
      <c r="E302" t="s">
        <v>14</v>
      </c>
      <c r="F302">
        <v>49</v>
      </c>
      <c r="G302">
        <v>4</v>
      </c>
      <c r="H302">
        <v>8726</v>
      </c>
      <c r="I302" t="s">
        <v>15</v>
      </c>
      <c r="J302" t="s">
        <v>40</v>
      </c>
    </row>
    <row r="303" spans="1:10" x14ac:dyDescent="0.55000000000000004">
      <c r="A303" t="s">
        <v>653</v>
      </c>
      <c r="B303" t="s">
        <v>654</v>
      </c>
      <c r="C303" t="s">
        <v>55</v>
      </c>
      <c r="D303" t="s">
        <v>120</v>
      </c>
      <c r="E303" t="s">
        <v>29</v>
      </c>
      <c r="F303">
        <v>44</v>
      </c>
      <c r="G303">
        <v>22</v>
      </c>
      <c r="H303">
        <v>14639</v>
      </c>
      <c r="I303" t="s">
        <v>30</v>
      </c>
      <c r="J303" t="s">
        <v>40</v>
      </c>
    </row>
    <row r="304" spans="1:10" x14ac:dyDescent="0.55000000000000004">
      <c r="A304" t="s">
        <v>655</v>
      </c>
      <c r="B304" t="s">
        <v>656</v>
      </c>
      <c r="C304" t="s">
        <v>12</v>
      </c>
      <c r="D304" t="s">
        <v>28</v>
      </c>
      <c r="E304" t="s">
        <v>29</v>
      </c>
      <c r="F304">
        <v>46</v>
      </c>
      <c r="G304">
        <v>1</v>
      </c>
      <c r="H304">
        <v>7656</v>
      </c>
      <c r="I304" t="s">
        <v>15</v>
      </c>
      <c r="J304" t="s">
        <v>36</v>
      </c>
    </row>
    <row r="305" spans="1:10" x14ac:dyDescent="0.55000000000000004">
      <c r="A305" t="s">
        <v>657</v>
      </c>
      <c r="B305" t="s">
        <v>658</v>
      </c>
      <c r="C305" t="s">
        <v>55</v>
      </c>
      <c r="D305" t="s">
        <v>80</v>
      </c>
      <c r="E305" t="s">
        <v>14</v>
      </c>
      <c r="F305">
        <v>45</v>
      </c>
      <c r="G305">
        <v>24</v>
      </c>
      <c r="H305">
        <v>13742</v>
      </c>
      <c r="I305" t="s">
        <v>35</v>
      </c>
      <c r="J305" t="s">
        <v>22</v>
      </c>
    </row>
    <row r="306" spans="1:10" x14ac:dyDescent="0.55000000000000004">
      <c r="A306" t="s">
        <v>659</v>
      </c>
      <c r="B306" t="s">
        <v>660</v>
      </c>
      <c r="C306" t="s">
        <v>43</v>
      </c>
      <c r="D306" t="s">
        <v>147</v>
      </c>
      <c r="E306" t="s">
        <v>29</v>
      </c>
      <c r="F306">
        <v>38</v>
      </c>
      <c r="G306">
        <v>4</v>
      </c>
      <c r="H306">
        <v>7160</v>
      </c>
      <c r="I306" t="s">
        <v>83</v>
      </c>
      <c r="J306" t="s">
        <v>36</v>
      </c>
    </row>
    <row r="307" spans="1:10" x14ac:dyDescent="0.55000000000000004">
      <c r="A307" t="s">
        <v>661</v>
      </c>
      <c r="B307" t="s">
        <v>662</v>
      </c>
      <c r="C307" t="s">
        <v>61</v>
      </c>
      <c r="D307" t="s">
        <v>74</v>
      </c>
      <c r="E307" t="s">
        <v>29</v>
      </c>
      <c r="F307">
        <v>51</v>
      </c>
      <c r="G307">
        <v>26</v>
      </c>
      <c r="H307">
        <v>16181</v>
      </c>
      <c r="I307" t="s">
        <v>21</v>
      </c>
      <c r="J307" t="s">
        <v>40</v>
      </c>
    </row>
    <row r="308" spans="1:10" x14ac:dyDescent="0.55000000000000004">
      <c r="A308" t="s">
        <v>663</v>
      </c>
      <c r="B308" t="s">
        <v>664</v>
      </c>
      <c r="C308" t="s">
        <v>43</v>
      </c>
      <c r="D308" t="s">
        <v>44</v>
      </c>
      <c r="E308" t="s">
        <v>14</v>
      </c>
      <c r="F308">
        <v>26</v>
      </c>
      <c r="G308">
        <v>1</v>
      </c>
      <c r="H308">
        <v>6836</v>
      </c>
      <c r="I308" t="s">
        <v>15</v>
      </c>
      <c r="J308" t="s">
        <v>22</v>
      </c>
    </row>
    <row r="309" spans="1:10" x14ac:dyDescent="0.55000000000000004">
      <c r="A309" t="s">
        <v>665</v>
      </c>
      <c r="B309" t="s">
        <v>666</v>
      </c>
      <c r="C309" t="s">
        <v>55</v>
      </c>
      <c r="D309" t="s">
        <v>56</v>
      </c>
      <c r="E309" t="s">
        <v>14</v>
      </c>
      <c r="F309">
        <v>31</v>
      </c>
      <c r="G309">
        <v>8</v>
      </c>
      <c r="H309">
        <v>9729</v>
      </c>
      <c r="I309" t="s">
        <v>83</v>
      </c>
      <c r="J309" t="s">
        <v>22</v>
      </c>
    </row>
    <row r="310" spans="1:10" x14ac:dyDescent="0.55000000000000004">
      <c r="A310" t="s">
        <v>667</v>
      </c>
      <c r="B310" t="s">
        <v>668</v>
      </c>
      <c r="C310" t="s">
        <v>55</v>
      </c>
      <c r="D310" t="s">
        <v>56</v>
      </c>
      <c r="E310" t="s">
        <v>29</v>
      </c>
      <c r="F310">
        <v>34</v>
      </c>
      <c r="G310">
        <v>12</v>
      </c>
      <c r="H310">
        <v>11051</v>
      </c>
      <c r="I310" t="s">
        <v>15</v>
      </c>
      <c r="J310" t="s">
        <v>22</v>
      </c>
    </row>
    <row r="311" spans="1:10" x14ac:dyDescent="0.55000000000000004">
      <c r="A311" t="s">
        <v>669</v>
      </c>
      <c r="B311" t="s">
        <v>670</v>
      </c>
      <c r="C311" t="s">
        <v>61</v>
      </c>
      <c r="D311" t="s">
        <v>74</v>
      </c>
      <c r="E311" t="s">
        <v>14</v>
      </c>
      <c r="F311">
        <v>40</v>
      </c>
      <c r="G311">
        <v>1</v>
      </c>
      <c r="H311">
        <v>5748</v>
      </c>
      <c r="I311" t="s">
        <v>83</v>
      </c>
      <c r="J311" t="s">
        <v>22</v>
      </c>
    </row>
    <row r="312" spans="1:10" x14ac:dyDescent="0.55000000000000004">
      <c r="A312" t="s">
        <v>671</v>
      </c>
      <c r="B312" t="s">
        <v>672</v>
      </c>
      <c r="C312" t="s">
        <v>61</v>
      </c>
      <c r="D312" t="s">
        <v>74</v>
      </c>
      <c r="E312" t="s">
        <v>29</v>
      </c>
      <c r="F312">
        <v>59</v>
      </c>
      <c r="G312">
        <v>0</v>
      </c>
      <c r="H312">
        <v>5966</v>
      </c>
      <c r="I312" t="s">
        <v>21</v>
      </c>
      <c r="J312" t="s">
        <v>40</v>
      </c>
    </row>
    <row r="313" spans="1:10" x14ac:dyDescent="0.55000000000000004">
      <c r="A313" t="s">
        <v>673</v>
      </c>
      <c r="B313" t="s">
        <v>674</v>
      </c>
      <c r="C313" t="s">
        <v>55</v>
      </c>
      <c r="D313" t="s">
        <v>120</v>
      </c>
      <c r="E313" t="s">
        <v>29</v>
      </c>
      <c r="F313">
        <v>43</v>
      </c>
      <c r="G313">
        <v>1</v>
      </c>
      <c r="H313">
        <v>5481</v>
      </c>
      <c r="I313" t="s">
        <v>21</v>
      </c>
      <c r="J313" t="s">
        <v>22</v>
      </c>
    </row>
    <row r="314" spans="1:10" x14ac:dyDescent="0.55000000000000004">
      <c r="A314" t="s">
        <v>675</v>
      </c>
      <c r="B314" t="s">
        <v>676</v>
      </c>
      <c r="C314" t="s">
        <v>12</v>
      </c>
      <c r="D314" t="s">
        <v>25</v>
      </c>
      <c r="E314" t="s">
        <v>14</v>
      </c>
      <c r="F314">
        <v>58</v>
      </c>
      <c r="G314">
        <v>30</v>
      </c>
      <c r="H314">
        <v>17714</v>
      </c>
      <c r="I314" t="s">
        <v>15</v>
      </c>
      <c r="J314" t="s">
        <v>22</v>
      </c>
    </row>
    <row r="315" spans="1:10" x14ac:dyDescent="0.55000000000000004">
      <c r="A315" t="s">
        <v>677</v>
      </c>
      <c r="B315" t="s">
        <v>678</v>
      </c>
      <c r="C315" t="s">
        <v>43</v>
      </c>
      <c r="D315" t="s">
        <v>147</v>
      </c>
      <c r="E315" t="s">
        <v>14</v>
      </c>
      <c r="F315">
        <v>31</v>
      </c>
      <c r="G315">
        <v>4</v>
      </c>
      <c r="H315">
        <v>6782</v>
      </c>
      <c r="I315" t="s">
        <v>30</v>
      </c>
      <c r="J315" t="s">
        <v>22</v>
      </c>
    </row>
    <row r="316" spans="1:10" x14ac:dyDescent="0.55000000000000004">
      <c r="A316" t="s">
        <v>679</v>
      </c>
      <c r="B316" t="s">
        <v>680</v>
      </c>
      <c r="C316" t="s">
        <v>55</v>
      </c>
      <c r="D316" t="s">
        <v>80</v>
      </c>
      <c r="E316" t="s">
        <v>29</v>
      </c>
      <c r="F316">
        <v>32</v>
      </c>
      <c r="G316">
        <v>2</v>
      </c>
      <c r="H316">
        <v>5960</v>
      </c>
      <c r="I316" t="s">
        <v>90</v>
      </c>
      <c r="J316" t="s">
        <v>36</v>
      </c>
    </row>
    <row r="317" spans="1:10" x14ac:dyDescent="0.55000000000000004">
      <c r="A317" t="s">
        <v>681</v>
      </c>
      <c r="B317" t="s">
        <v>682</v>
      </c>
      <c r="C317" t="s">
        <v>47</v>
      </c>
      <c r="D317" t="s">
        <v>48</v>
      </c>
      <c r="E317" t="s">
        <v>29</v>
      </c>
      <c r="F317">
        <v>36</v>
      </c>
      <c r="G317">
        <v>8</v>
      </c>
      <c r="H317">
        <v>9113</v>
      </c>
      <c r="I317" t="s">
        <v>15</v>
      </c>
      <c r="J317" t="s">
        <v>22</v>
      </c>
    </row>
    <row r="318" spans="1:10" x14ac:dyDescent="0.55000000000000004">
      <c r="A318" t="s">
        <v>683</v>
      </c>
      <c r="B318" t="s">
        <v>684</v>
      </c>
      <c r="C318" t="s">
        <v>61</v>
      </c>
      <c r="D318" t="s">
        <v>188</v>
      </c>
      <c r="E318" t="s">
        <v>29</v>
      </c>
      <c r="F318">
        <v>23</v>
      </c>
      <c r="G318">
        <v>1</v>
      </c>
      <c r="H318">
        <v>6589</v>
      </c>
      <c r="I318" t="s">
        <v>35</v>
      </c>
      <c r="J318" t="s">
        <v>22</v>
      </c>
    </row>
    <row r="319" spans="1:10" x14ac:dyDescent="0.55000000000000004">
      <c r="A319" t="s">
        <v>685</v>
      </c>
      <c r="B319" t="s">
        <v>686</v>
      </c>
      <c r="C319" t="s">
        <v>43</v>
      </c>
      <c r="D319" t="s">
        <v>68</v>
      </c>
      <c r="E319" t="s">
        <v>29</v>
      </c>
      <c r="F319">
        <v>43</v>
      </c>
      <c r="G319">
        <v>9</v>
      </c>
      <c r="H319">
        <v>9253</v>
      </c>
      <c r="I319" t="s">
        <v>21</v>
      </c>
      <c r="J319" t="s">
        <v>22</v>
      </c>
    </row>
    <row r="320" spans="1:10" x14ac:dyDescent="0.55000000000000004">
      <c r="A320" t="s">
        <v>687</v>
      </c>
      <c r="B320" t="s">
        <v>688</v>
      </c>
      <c r="C320" t="s">
        <v>33</v>
      </c>
      <c r="D320" t="s">
        <v>34</v>
      </c>
      <c r="E320" t="s">
        <v>14</v>
      </c>
      <c r="F320">
        <v>42</v>
      </c>
      <c r="G320">
        <v>9</v>
      </c>
      <c r="H320">
        <v>7722</v>
      </c>
      <c r="I320" t="s">
        <v>21</v>
      </c>
      <c r="J320" t="s">
        <v>22</v>
      </c>
    </row>
    <row r="321" spans="1:10" x14ac:dyDescent="0.55000000000000004">
      <c r="A321" t="s">
        <v>689</v>
      </c>
      <c r="B321" t="s">
        <v>690</v>
      </c>
      <c r="C321" t="s">
        <v>19</v>
      </c>
      <c r="D321" t="s">
        <v>39</v>
      </c>
      <c r="E321" t="s">
        <v>14</v>
      </c>
      <c r="F321">
        <v>29</v>
      </c>
      <c r="G321">
        <v>8</v>
      </c>
      <c r="H321">
        <v>9922</v>
      </c>
      <c r="I321" t="s">
        <v>35</v>
      </c>
      <c r="J321" t="s">
        <v>40</v>
      </c>
    </row>
    <row r="322" spans="1:10" x14ac:dyDescent="0.55000000000000004">
      <c r="A322" t="s">
        <v>691</v>
      </c>
      <c r="B322" t="s">
        <v>692</v>
      </c>
      <c r="C322" t="s">
        <v>19</v>
      </c>
      <c r="D322" t="s">
        <v>51</v>
      </c>
      <c r="E322" t="s">
        <v>14</v>
      </c>
      <c r="F322">
        <v>50</v>
      </c>
      <c r="G322">
        <v>15</v>
      </c>
      <c r="H322">
        <v>14079</v>
      </c>
      <c r="I322" t="s">
        <v>52</v>
      </c>
      <c r="J322" t="s">
        <v>40</v>
      </c>
    </row>
    <row r="323" spans="1:10" x14ac:dyDescent="0.55000000000000004">
      <c r="A323" t="s">
        <v>693</v>
      </c>
      <c r="B323" t="s">
        <v>694</v>
      </c>
      <c r="C323" t="s">
        <v>12</v>
      </c>
      <c r="D323" t="s">
        <v>28</v>
      </c>
      <c r="E323" t="s">
        <v>29</v>
      </c>
      <c r="F323">
        <v>52</v>
      </c>
      <c r="G323">
        <v>16</v>
      </c>
      <c r="H323">
        <v>11543</v>
      </c>
      <c r="I323" t="s">
        <v>83</v>
      </c>
      <c r="J323" t="s">
        <v>40</v>
      </c>
    </row>
    <row r="324" spans="1:10" x14ac:dyDescent="0.55000000000000004">
      <c r="A324" t="s">
        <v>695</v>
      </c>
      <c r="B324" t="s">
        <v>696</v>
      </c>
      <c r="C324" t="s">
        <v>43</v>
      </c>
      <c r="D324" t="s">
        <v>147</v>
      </c>
      <c r="E324" t="s">
        <v>29</v>
      </c>
      <c r="F324">
        <v>60</v>
      </c>
      <c r="G324">
        <v>9</v>
      </c>
      <c r="H324">
        <v>9975</v>
      </c>
      <c r="I324" t="s">
        <v>35</v>
      </c>
      <c r="J324" t="s">
        <v>36</v>
      </c>
    </row>
    <row r="325" spans="1:10" x14ac:dyDescent="0.55000000000000004">
      <c r="A325" t="s">
        <v>697</v>
      </c>
      <c r="B325" t="s">
        <v>698</v>
      </c>
      <c r="C325" t="s">
        <v>19</v>
      </c>
      <c r="D325" t="s">
        <v>51</v>
      </c>
      <c r="E325" t="s">
        <v>14</v>
      </c>
      <c r="F325">
        <v>58</v>
      </c>
      <c r="G325">
        <v>32</v>
      </c>
      <c r="H325">
        <v>18211</v>
      </c>
      <c r="I325" t="s">
        <v>15</v>
      </c>
      <c r="J325" t="s">
        <v>22</v>
      </c>
    </row>
    <row r="326" spans="1:10" x14ac:dyDescent="0.55000000000000004">
      <c r="A326" t="s">
        <v>699</v>
      </c>
      <c r="B326" t="s">
        <v>700</v>
      </c>
      <c r="C326" t="s">
        <v>47</v>
      </c>
      <c r="D326" t="s">
        <v>48</v>
      </c>
      <c r="E326" t="s">
        <v>29</v>
      </c>
      <c r="F326">
        <v>44</v>
      </c>
      <c r="G326">
        <v>7</v>
      </c>
      <c r="H326">
        <v>9022</v>
      </c>
      <c r="I326" t="s">
        <v>83</v>
      </c>
      <c r="J326" t="s">
        <v>40</v>
      </c>
    </row>
    <row r="327" spans="1:10" x14ac:dyDescent="0.55000000000000004">
      <c r="A327" t="s">
        <v>701</v>
      </c>
      <c r="B327" t="s">
        <v>702</v>
      </c>
      <c r="C327" t="s">
        <v>61</v>
      </c>
      <c r="D327" t="s">
        <v>62</v>
      </c>
      <c r="E327" t="s">
        <v>29</v>
      </c>
      <c r="F327">
        <v>45</v>
      </c>
      <c r="G327">
        <v>24</v>
      </c>
      <c r="H327">
        <v>12378</v>
      </c>
      <c r="I327" t="s">
        <v>90</v>
      </c>
      <c r="J327" t="s">
        <v>22</v>
      </c>
    </row>
    <row r="328" spans="1:10" x14ac:dyDescent="0.55000000000000004">
      <c r="A328" t="s">
        <v>703</v>
      </c>
      <c r="B328" t="s">
        <v>704</v>
      </c>
      <c r="C328" t="s">
        <v>12</v>
      </c>
      <c r="D328" t="s">
        <v>25</v>
      </c>
      <c r="E328" t="s">
        <v>29</v>
      </c>
      <c r="F328">
        <v>35</v>
      </c>
      <c r="G328">
        <v>0</v>
      </c>
      <c r="H328">
        <v>6562</v>
      </c>
      <c r="I328" t="s">
        <v>90</v>
      </c>
      <c r="J328" t="s">
        <v>22</v>
      </c>
    </row>
    <row r="329" spans="1:10" x14ac:dyDescent="0.55000000000000004">
      <c r="A329" t="s">
        <v>705</v>
      </c>
      <c r="B329" t="s">
        <v>706</v>
      </c>
      <c r="C329" t="s">
        <v>33</v>
      </c>
      <c r="D329" t="s">
        <v>77</v>
      </c>
      <c r="E329" t="s">
        <v>14</v>
      </c>
      <c r="F329">
        <v>46</v>
      </c>
      <c r="G329">
        <v>9</v>
      </c>
      <c r="H329">
        <v>8282</v>
      </c>
      <c r="I329" t="s">
        <v>83</v>
      </c>
      <c r="J329" t="s">
        <v>22</v>
      </c>
    </row>
    <row r="330" spans="1:10" x14ac:dyDescent="0.55000000000000004">
      <c r="A330" t="s">
        <v>707</v>
      </c>
      <c r="B330" t="s">
        <v>708</v>
      </c>
      <c r="C330" t="s">
        <v>61</v>
      </c>
      <c r="D330" t="s">
        <v>74</v>
      </c>
      <c r="E330" t="s">
        <v>14</v>
      </c>
      <c r="F330">
        <v>36</v>
      </c>
      <c r="G330">
        <v>13</v>
      </c>
      <c r="H330">
        <v>10363</v>
      </c>
      <c r="I330" t="s">
        <v>21</v>
      </c>
      <c r="J330" t="s">
        <v>40</v>
      </c>
    </row>
    <row r="331" spans="1:10" x14ac:dyDescent="0.55000000000000004">
      <c r="A331" t="s">
        <v>709</v>
      </c>
      <c r="B331" t="s">
        <v>710</v>
      </c>
      <c r="C331" t="s">
        <v>61</v>
      </c>
      <c r="D331" t="s">
        <v>74</v>
      </c>
      <c r="E331" t="s">
        <v>14</v>
      </c>
      <c r="F331">
        <v>27</v>
      </c>
      <c r="G331">
        <v>5</v>
      </c>
      <c r="H331">
        <v>6814</v>
      </c>
      <c r="I331" t="s">
        <v>35</v>
      </c>
      <c r="J331" t="s">
        <v>40</v>
      </c>
    </row>
    <row r="332" spans="1:10" x14ac:dyDescent="0.55000000000000004">
      <c r="A332" t="s">
        <v>711</v>
      </c>
      <c r="B332" t="s">
        <v>712</v>
      </c>
      <c r="C332" t="s">
        <v>33</v>
      </c>
      <c r="D332" t="s">
        <v>77</v>
      </c>
      <c r="E332" t="s">
        <v>14</v>
      </c>
      <c r="F332">
        <v>41</v>
      </c>
      <c r="G332">
        <v>18</v>
      </c>
      <c r="H332">
        <v>8812</v>
      </c>
      <c r="I332" t="s">
        <v>15</v>
      </c>
      <c r="J332" t="s">
        <v>22</v>
      </c>
    </row>
    <row r="333" spans="1:10" x14ac:dyDescent="0.55000000000000004">
      <c r="A333" t="s">
        <v>713</v>
      </c>
      <c r="B333" t="s">
        <v>714</v>
      </c>
      <c r="C333" t="s">
        <v>43</v>
      </c>
      <c r="D333" t="s">
        <v>44</v>
      </c>
      <c r="E333" t="s">
        <v>29</v>
      </c>
      <c r="F333">
        <v>54</v>
      </c>
      <c r="G333">
        <v>21</v>
      </c>
      <c r="H333">
        <v>16277</v>
      </c>
      <c r="I333" t="s">
        <v>52</v>
      </c>
      <c r="J333" t="s">
        <v>40</v>
      </c>
    </row>
    <row r="334" spans="1:10" x14ac:dyDescent="0.55000000000000004">
      <c r="A334" t="s">
        <v>715</v>
      </c>
      <c r="B334" t="s">
        <v>716</v>
      </c>
      <c r="C334" t="s">
        <v>61</v>
      </c>
      <c r="D334" t="s">
        <v>62</v>
      </c>
      <c r="E334" t="s">
        <v>14</v>
      </c>
      <c r="F334">
        <v>26</v>
      </c>
      <c r="G334">
        <v>1</v>
      </c>
      <c r="H334">
        <v>5907</v>
      </c>
      <c r="I334" t="s">
        <v>90</v>
      </c>
      <c r="J334" t="s">
        <v>22</v>
      </c>
    </row>
    <row r="335" spans="1:10" x14ac:dyDescent="0.55000000000000004">
      <c r="A335" t="s">
        <v>717</v>
      </c>
      <c r="B335" t="s">
        <v>718</v>
      </c>
      <c r="C335" t="s">
        <v>61</v>
      </c>
      <c r="D335" t="s">
        <v>188</v>
      </c>
      <c r="E335" t="s">
        <v>29</v>
      </c>
      <c r="F335">
        <v>54</v>
      </c>
      <c r="G335">
        <v>4</v>
      </c>
      <c r="H335">
        <v>6488</v>
      </c>
      <c r="I335" t="s">
        <v>15</v>
      </c>
      <c r="J335" t="s">
        <v>40</v>
      </c>
    </row>
    <row r="336" spans="1:10" x14ac:dyDescent="0.55000000000000004">
      <c r="A336" t="s">
        <v>719</v>
      </c>
      <c r="B336" t="s">
        <v>720</v>
      </c>
      <c r="C336" t="s">
        <v>12</v>
      </c>
      <c r="D336" t="s">
        <v>28</v>
      </c>
      <c r="E336" t="s">
        <v>29</v>
      </c>
      <c r="F336">
        <v>46</v>
      </c>
      <c r="G336">
        <v>4</v>
      </c>
      <c r="H336">
        <v>10138</v>
      </c>
      <c r="I336" t="s">
        <v>15</v>
      </c>
      <c r="J336" t="s">
        <v>36</v>
      </c>
    </row>
    <row r="337" spans="1:10" x14ac:dyDescent="0.55000000000000004">
      <c r="A337" t="s">
        <v>721</v>
      </c>
      <c r="B337" t="s">
        <v>722</v>
      </c>
      <c r="C337" t="s">
        <v>47</v>
      </c>
      <c r="D337" t="s">
        <v>48</v>
      </c>
      <c r="E337" t="s">
        <v>29</v>
      </c>
      <c r="F337">
        <v>32</v>
      </c>
      <c r="G337">
        <v>8</v>
      </c>
      <c r="H337">
        <v>7236</v>
      </c>
      <c r="I337" t="s">
        <v>83</v>
      </c>
      <c r="J337" t="s">
        <v>22</v>
      </c>
    </row>
    <row r="338" spans="1:10" x14ac:dyDescent="0.55000000000000004">
      <c r="A338" t="s">
        <v>723</v>
      </c>
      <c r="B338" t="s">
        <v>724</v>
      </c>
      <c r="C338" t="s">
        <v>47</v>
      </c>
      <c r="D338" t="s">
        <v>48</v>
      </c>
      <c r="E338" t="s">
        <v>14</v>
      </c>
      <c r="F338">
        <v>26</v>
      </c>
      <c r="G338">
        <v>5</v>
      </c>
      <c r="H338">
        <v>6632</v>
      </c>
      <c r="I338" t="s">
        <v>90</v>
      </c>
      <c r="J338" t="s">
        <v>22</v>
      </c>
    </row>
    <row r="339" spans="1:10" x14ac:dyDescent="0.55000000000000004">
      <c r="A339" t="s">
        <v>725</v>
      </c>
      <c r="B339" t="s">
        <v>726</v>
      </c>
      <c r="C339" t="s">
        <v>61</v>
      </c>
      <c r="D339" t="s">
        <v>188</v>
      </c>
      <c r="E339" t="s">
        <v>29</v>
      </c>
      <c r="F339">
        <v>46</v>
      </c>
      <c r="G339">
        <v>14</v>
      </c>
      <c r="H339">
        <v>11641</v>
      </c>
      <c r="I339" t="s">
        <v>35</v>
      </c>
      <c r="J339" t="s">
        <v>22</v>
      </c>
    </row>
    <row r="340" spans="1:10" x14ac:dyDescent="0.55000000000000004">
      <c r="A340" t="s">
        <v>727</v>
      </c>
      <c r="B340" t="s">
        <v>728</v>
      </c>
      <c r="C340" t="s">
        <v>19</v>
      </c>
      <c r="D340" t="s">
        <v>51</v>
      </c>
      <c r="E340" t="s">
        <v>14</v>
      </c>
      <c r="F340">
        <v>55</v>
      </c>
      <c r="G340">
        <v>16</v>
      </c>
      <c r="H340">
        <v>12370</v>
      </c>
      <c r="I340" t="s">
        <v>35</v>
      </c>
      <c r="J340" t="s">
        <v>40</v>
      </c>
    </row>
    <row r="341" spans="1:10" x14ac:dyDescent="0.55000000000000004">
      <c r="A341" t="s">
        <v>729</v>
      </c>
      <c r="B341" t="s">
        <v>730</v>
      </c>
      <c r="C341" t="s">
        <v>61</v>
      </c>
      <c r="D341" t="s">
        <v>62</v>
      </c>
      <c r="E341" t="s">
        <v>14</v>
      </c>
      <c r="F341">
        <v>34</v>
      </c>
      <c r="G341">
        <v>0</v>
      </c>
      <c r="H341">
        <v>6128</v>
      </c>
      <c r="I341" t="s">
        <v>83</v>
      </c>
      <c r="J341" t="s">
        <v>22</v>
      </c>
    </row>
    <row r="342" spans="1:10" x14ac:dyDescent="0.55000000000000004">
      <c r="A342" t="s">
        <v>731</v>
      </c>
      <c r="B342" t="s">
        <v>732</v>
      </c>
      <c r="C342" t="s">
        <v>47</v>
      </c>
      <c r="D342" t="s">
        <v>65</v>
      </c>
      <c r="E342" t="s">
        <v>14</v>
      </c>
      <c r="F342">
        <v>31</v>
      </c>
      <c r="G342">
        <v>6</v>
      </c>
      <c r="H342">
        <v>6955</v>
      </c>
      <c r="I342" t="s">
        <v>52</v>
      </c>
      <c r="J342" t="s">
        <v>22</v>
      </c>
    </row>
    <row r="343" spans="1:10" x14ac:dyDescent="0.55000000000000004">
      <c r="A343" t="s">
        <v>733</v>
      </c>
      <c r="B343" t="s">
        <v>734</v>
      </c>
      <c r="C343" t="s">
        <v>33</v>
      </c>
      <c r="D343" t="s">
        <v>93</v>
      </c>
      <c r="E343" t="s">
        <v>29</v>
      </c>
      <c r="F343">
        <v>47</v>
      </c>
      <c r="G343">
        <v>12</v>
      </c>
      <c r="H343">
        <v>11350</v>
      </c>
      <c r="I343" t="s">
        <v>90</v>
      </c>
      <c r="J343" t="s">
        <v>40</v>
      </c>
    </row>
    <row r="344" spans="1:10" x14ac:dyDescent="0.55000000000000004">
      <c r="A344" t="s">
        <v>735</v>
      </c>
      <c r="B344" t="s">
        <v>736</v>
      </c>
      <c r="C344" t="s">
        <v>61</v>
      </c>
      <c r="D344" t="s">
        <v>74</v>
      </c>
      <c r="E344" t="s">
        <v>29</v>
      </c>
      <c r="F344">
        <v>28</v>
      </c>
      <c r="G344">
        <v>2</v>
      </c>
      <c r="H344">
        <v>5732</v>
      </c>
      <c r="I344" t="s">
        <v>35</v>
      </c>
      <c r="J344" t="s">
        <v>22</v>
      </c>
    </row>
    <row r="345" spans="1:10" x14ac:dyDescent="0.55000000000000004">
      <c r="A345" t="s">
        <v>737</v>
      </c>
      <c r="B345" t="s">
        <v>738</v>
      </c>
      <c r="C345" t="s">
        <v>61</v>
      </c>
      <c r="D345" t="s">
        <v>74</v>
      </c>
      <c r="E345" t="s">
        <v>14</v>
      </c>
      <c r="F345">
        <v>52</v>
      </c>
      <c r="G345">
        <v>4</v>
      </c>
      <c r="H345">
        <v>6600</v>
      </c>
      <c r="I345" t="s">
        <v>30</v>
      </c>
      <c r="J345" t="s">
        <v>22</v>
      </c>
    </row>
    <row r="346" spans="1:10" x14ac:dyDescent="0.55000000000000004">
      <c r="A346" t="s">
        <v>739</v>
      </c>
      <c r="B346" t="s">
        <v>740</v>
      </c>
      <c r="C346" t="s">
        <v>33</v>
      </c>
      <c r="D346" t="s">
        <v>34</v>
      </c>
      <c r="E346" t="s">
        <v>29</v>
      </c>
      <c r="F346">
        <v>38</v>
      </c>
      <c r="G346">
        <v>15</v>
      </c>
      <c r="H346">
        <v>8694</v>
      </c>
      <c r="I346" t="s">
        <v>15</v>
      </c>
      <c r="J346" t="s">
        <v>22</v>
      </c>
    </row>
    <row r="347" spans="1:10" x14ac:dyDescent="0.55000000000000004">
      <c r="A347" t="s">
        <v>741</v>
      </c>
      <c r="B347" t="s">
        <v>742</v>
      </c>
      <c r="C347" t="s">
        <v>47</v>
      </c>
      <c r="D347" t="s">
        <v>65</v>
      </c>
      <c r="E347" t="s">
        <v>14</v>
      </c>
      <c r="F347">
        <v>36</v>
      </c>
      <c r="G347">
        <v>11</v>
      </c>
      <c r="H347">
        <v>11074</v>
      </c>
      <c r="I347" t="s">
        <v>15</v>
      </c>
      <c r="J347" t="s">
        <v>36</v>
      </c>
    </row>
    <row r="348" spans="1:10" x14ac:dyDescent="0.55000000000000004">
      <c r="A348" t="s">
        <v>743</v>
      </c>
      <c r="B348" t="s">
        <v>744</v>
      </c>
      <c r="C348" t="s">
        <v>47</v>
      </c>
      <c r="D348" t="s">
        <v>48</v>
      </c>
      <c r="E348" t="s">
        <v>29</v>
      </c>
      <c r="F348">
        <v>48</v>
      </c>
      <c r="G348">
        <v>3</v>
      </c>
      <c r="H348">
        <v>7175</v>
      </c>
      <c r="I348" t="s">
        <v>21</v>
      </c>
      <c r="J348" t="s">
        <v>22</v>
      </c>
    </row>
    <row r="349" spans="1:10" x14ac:dyDescent="0.55000000000000004">
      <c r="A349" t="s">
        <v>745</v>
      </c>
      <c r="B349" t="s">
        <v>746</v>
      </c>
      <c r="C349" t="s">
        <v>55</v>
      </c>
      <c r="D349" t="s">
        <v>56</v>
      </c>
      <c r="E349" t="s">
        <v>14</v>
      </c>
      <c r="F349">
        <v>38</v>
      </c>
      <c r="G349">
        <v>17</v>
      </c>
      <c r="H349">
        <v>9678</v>
      </c>
      <c r="I349" t="s">
        <v>52</v>
      </c>
      <c r="J349" t="s">
        <v>22</v>
      </c>
    </row>
    <row r="350" spans="1:10" x14ac:dyDescent="0.55000000000000004">
      <c r="A350" t="s">
        <v>747</v>
      </c>
      <c r="B350" t="s">
        <v>748</v>
      </c>
      <c r="C350" t="s">
        <v>43</v>
      </c>
      <c r="D350" t="s">
        <v>44</v>
      </c>
      <c r="E350" t="s">
        <v>29</v>
      </c>
      <c r="F350">
        <v>35</v>
      </c>
      <c r="G350">
        <v>6</v>
      </c>
      <c r="H350">
        <v>8512</v>
      </c>
      <c r="I350" t="s">
        <v>15</v>
      </c>
      <c r="J350" t="s">
        <v>22</v>
      </c>
    </row>
    <row r="351" spans="1:10" x14ac:dyDescent="0.55000000000000004">
      <c r="A351" t="s">
        <v>749</v>
      </c>
      <c r="B351" t="s">
        <v>750</v>
      </c>
      <c r="C351" t="s">
        <v>19</v>
      </c>
      <c r="D351" t="s">
        <v>20</v>
      </c>
      <c r="E351" t="s">
        <v>29</v>
      </c>
      <c r="F351">
        <v>33</v>
      </c>
      <c r="G351">
        <v>6</v>
      </c>
      <c r="H351">
        <v>10539</v>
      </c>
      <c r="I351" t="s">
        <v>35</v>
      </c>
      <c r="J351" t="s">
        <v>40</v>
      </c>
    </row>
    <row r="352" spans="1:10" x14ac:dyDescent="0.55000000000000004">
      <c r="A352" t="s">
        <v>751</v>
      </c>
      <c r="B352" t="s">
        <v>752</v>
      </c>
      <c r="C352" t="s">
        <v>19</v>
      </c>
      <c r="D352" t="s">
        <v>39</v>
      </c>
      <c r="E352" t="s">
        <v>29</v>
      </c>
      <c r="F352">
        <v>55</v>
      </c>
      <c r="G352">
        <v>13</v>
      </c>
      <c r="H352">
        <v>11108</v>
      </c>
      <c r="I352" t="s">
        <v>35</v>
      </c>
      <c r="J352" t="s">
        <v>22</v>
      </c>
    </row>
    <row r="353" spans="1:10" x14ac:dyDescent="0.55000000000000004">
      <c r="A353" t="s">
        <v>753</v>
      </c>
      <c r="B353" t="s">
        <v>754</v>
      </c>
      <c r="C353" t="s">
        <v>19</v>
      </c>
      <c r="D353" t="s">
        <v>51</v>
      </c>
      <c r="E353" t="s">
        <v>29</v>
      </c>
      <c r="F353">
        <v>39</v>
      </c>
      <c r="G353">
        <v>9</v>
      </c>
      <c r="H353">
        <v>12167</v>
      </c>
      <c r="I353" t="s">
        <v>90</v>
      </c>
      <c r="J353" t="s">
        <v>40</v>
      </c>
    </row>
    <row r="354" spans="1:10" x14ac:dyDescent="0.55000000000000004">
      <c r="A354" t="s">
        <v>755</v>
      </c>
      <c r="B354" t="s">
        <v>756</v>
      </c>
      <c r="C354" t="s">
        <v>12</v>
      </c>
      <c r="D354" t="s">
        <v>25</v>
      </c>
      <c r="E354" t="s">
        <v>29</v>
      </c>
      <c r="F354">
        <v>50</v>
      </c>
      <c r="G354">
        <v>9</v>
      </c>
      <c r="H354">
        <v>10154</v>
      </c>
      <c r="I354" t="s">
        <v>83</v>
      </c>
      <c r="J354" t="s">
        <v>22</v>
      </c>
    </row>
    <row r="355" spans="1:10" x14ac:dyDescent="0.55000000000000004">
      <c r="A355" t="s">
        <v>757</v>
      </c>
      <c r="B355" t="s">
        <v>758</v>
      </c>
      <c r="C355" t="s">
        <v>19</v>
      </c>
      <c r="D355" t="s">
        <v>39</v>
      </c>
      <c r="E355" t="s">
        <v>14</v>
      </c>
      <c r="F355">
        <v>38</v>
      </c>
      <c r="G355">
        <v>1</v>
      </c>
      <c r="H355">
        <v>9069</v>
      </c>
      <c r="I355" t="s">
        <v>21</v>
      </c>
      <c r="J355" t="s">
        <v>40</v>
      </c>
    </row>
    <row r="356" spans="1:10" x14ac:dyDescent="0.55000000000000004">
      <c r="A356" t="s">
        <v>759</v>
      </c>
      <c r="B356" t="s">
        <v>760</v>
      </c>
      <c r="C356" t="s">
        <v>55</v>
      </c>
      <c r="D356" t="s">
        <v>56</v>
      </c>
      <c r="E356" t="s">
        <v>29</v>
      </c>
      <c r="F356">
        <v>43</v>
      </c>
      <c r="G356">
        <v>18</v>
      </c>
      <c r="H356">
        <v>12897</v>
      </c>
      <c r="I356" t="s">
        <v>35</v>
      </c>
      <c r="J356" t="s">
        <v>36</v>
      </c>
    </row>
    <row r="357" spans="1:10" x14ac:dyDescent="0.55000000000000004">
      <c r="A357" t="s">
        <v>761</v>
      </c>
      <c r="B357" t="s">
        <v>762</v>
      </c>
      <c r="C357" t="s">
        <v>43</v>
      </c>
      <c r="D357" t="s">
        <v>44</v>
      </c>
      <c r="E357" t="s">
        <v>29</v>
      </c>
      <c r="F357">
        <v>39</v>
      </c>
      <c r="G357">
        <v>7</v>
      </c>
      <c r="H357">
        <v>8358</v>
      </c>
      <c r="I357" t="s">
        <v>21</v>
      </c>
      <c r="J357" t="s">
        <v>22</v>
      </c>
    </row>
    <row r="358" spans="1:10" x14ac:dyDescent="0.55000000000000004">
      <c r="A358" t="s">
        <v>763</v>
      </c>
      <c r="B358" t="s">
        <v>764</v>
      </c>
      <c r="C358" t="s">
        <v>61</v>
      </c>
      <c r="D358" t="s">
        <v>74</v>
      </c>
      <c r="E358" t="s">
        <v>29</v>
      </c>
      <c r="F358">
        <v>32</v>
      </c>
      <c r="G358">
        <v>0</v>
      </c>
      <c r="H358">
        <v>5132</v>
      </c>
      <c r="I358" t="s">
        <v>83</v>
      </c>
      <c r="J358" t="s">
        <v>22</v>
      </c>
    </row>
    <row r="359" spans="1:10" x14ac:dyDescent="0.55000000000000004">
      <c r="A359" t="s">
        <v>765</v>
      </c>
      <c r="B359" t="s">
        <v>766</v>
      </c>
      <c r="C359" t="s">
        <v>12</v>
      </c>
      <c r="D359" t="s">
        <v>28</v>
      </c>
      <c r="E359" t="s">
        <v>29</v>
      </c>
      <c r="F359">
        <v>54</v>
      </c>
      <c r="G359">
        <v>21</v>
      </c>
      <c r="H359">
        <v>15073</v>
      </c>
      <c r="I359" t="s">
        <v>30</v>
      </c>
      <c r="J359" t="s">
        <v>22</v>
      </c>
    </row>
    <row r="360" spans="1:10" x14ac:dyDescent="0.55000000000000004">
      <c r="A360" t="s">
        <v>767</v>
      </c>
      <c r="B360" t="s">
        <v>768</v>
      </c>
      <c r="C360" t="s">
        <v>43</v>
      </c>
      <c r="D360" t="s">
        <v>44</v>
      </c>
      <c r="E360" t="s">
        <v>14</v>
      </c>
      <c r="F360">
        <v>52</v>
      </c>
      <c r="G360">
        <v>1</v>
      </c>
      <c r="H360">
        <v>6739</v>
      </c>
      <c r="I360" t="s">
        <v>21</v>
      </c>
      <c r="J360" t="s">
        <v>22</v>
      </c>
    </row>
    <row r="361" spans="1:10" x14ac:dyDescent="0.55000000000000004">
      <c r="A361" t="s">
        <v>769</v>
      </c>
      <c r="B361" t="s">
        <v>770</v>
      </c>
      <c r="C361" t="s">
        <v>47</v>
      </c>
      <c r="D361" t="s">
        <v>48</v>
      </c>
      <c r="E361" t="s">
        <v>29</v>
      </c>
      <c r="F361">
        <v>38</v>
      </c>
      <c r="G361">
        <v>11</v>
      </c>
      <c r="H361">
        <v>10955</v>
      </c>
      <c r="I361" t="s">
        <v>90</v>
      </c>
      <c r="J361" t="s">
        <v>22</v>
      </c>
    </row>
    <row r="362" spans="1:10" x14ac:dyDescent="0.55000000000000004">
      <c r="A362" t="s">
        <v>771</v>
      </c>
      <c r="B362" t="s">
        <v>772</v>
      </c>
      <c r="C362" t="s">
        <v>19</v>
      </c>
      <c r="D362" t="s">
        <v>51</v>
      </c>
      <c r="E362" t="s">
        <v>14</v>
      </c>
      <c r="F362">
        <v>60</v>
      </c>
      <c r="G362">
        <v>19</v>
      </c>
      <c r="H362">
        <v>12618</v>
      </c>
      <c r="I362" t="s">
        <v>15</v>
      </c>
      <c r="J362" t="s">
        <v>22</v>
      </c>
    </row>
    <row r="363" spans="1:10" x14ac:dyDescent="0.55000000000000004">
      <c r="A363" t="s">
        <v>773</v>
      </c>
      <c r="B363" t="s">
        <v>774</v>
      </c>
      <c r="C363" t="s">
        <v>47</v>
      </c>
      <c r="D363" t="s">
        <v>71</v>
      </c>
      <c r="E363" t="s">
        <v>14</v>
      </c>
      <c r="F363">
        <v>46</v>
      </c>
      <c r="G363">
        <v>19</v>
      </c>
      <c r="H363">
        <v>13357</v>
      </c>
      <c r="I363" t="s">
        <v>52</v>
      </c>
      <c r="J363" t="s">
        <v>22</v>
      </c>
    </row>
    <row r="364" spans="1:10" x14ac:dyDescent="0.55000000000000004">
      <c r="A364" t="s">
        <v>775</v>
      </c>
      <c r="B364" t="s">
        <v>776</v>
      </c>
      <c r="C364" t="s">
        <v>47</v>
      </c>
      <c r="D364" t="s">
        <v>48</v>
      </c>
      <c r="E364" t="s">
        <v>29</v>
      </c>
      <c r="F364">
        <v>56</v>
      </c>
      <c r="G364">
        <v>19</v>
      </c>
      <c r="H364">
        <v>14625</v>
      </c>
      <c r="I364" t="s">
        <v>52</v>
      </c>
      <c r="J364" t="s">
        <v>40</v>
      </c>
    </row>
    <row r="365" spans="1:10" x14ac:dyDescent="0.55000000000000004">
      <c r="A365" t="s">
        <v>777</v>
      </c>
      <c r="B365" t="s">
        <v>778</v>
      </c>
      <c r="C365" t="s">
        <v>19</v>
      </c>
      <c r="D365" t="s">
        <v>39</v>
      </c>
      <c r="E365" t="s">
        <v>29</v>
      </c>
      <c r="F365">
        <v>31</v>
      </c>
      <c r="G365">
        <v>3</v>
      </c>
      <c r="H365">
        <v>8780</v>
      </c>
      <c r="I365" t="s">
        <v>52</v>
      </c>
      <c r="J365" t="s">
        <v>22</v>
      </c>
    </row>
    <row r="366" spans="1:10" x14ac:dyDescent="0.55000000000000004">
      <c r="A366" t="s">
        <v>779</v>
      </c>
      <c r="B366" t="s">
        <v>780</v>
      </c>
      <c r="C366" t="s">
        <v>12</v>
      </c>
      <c r="D366" t="s">
        <v>13</v>
      </c>
      <c r="E366" t="s">
        <v>29</v>
      </c>
      <c r="F366">
        <v>29</v>
      </c>
      <c r="G366">
        <v>5</v>
      </c>
      <c r="H366">
        <v>9723</v>
      </c>
      <c r="I366" t="s">
        <v>15</v>
      </c>
      <c r="J366" t="s">
        <v>40</v>
      </c>
    </row>
    <row r="367" spans="1:10" x14ac:dyDescent="0.55000000000000004">
      <c r="A367" t="s">
        <v>781</v>
      </c>
      <c r="B367" t="s">
        <v>782</v>
      </c>
      <c r="C367" t="s">
        <v>43</v>
      </c>
      <c r="D367" t="s">
        <v>147</v>
      </c>
      <c r="E367" t="s">
        <v>14</v>
      </c>
      <c r="F367">
        <v>40</v>
      </c>
      <c r="G367">
        <v>18</v>
      </c>
      <c r="H367">
        <v>10844</v>
      </c>
      <c r="I367" t="s">
        <v>90</v>
      </c>
      <c r="J367" t="s">
        <v>22</v>
      </c>
    </row>
    <row r="368" spans="1:10" x14ac:dyDescent="0.55000000000000004">
      <c r="A368" t="s">
        <v>783</v>
      </c>
      <c r="B368" t="s">
        <v>784</v>
      </c>
      <c r="C368" t="s">
        <v>47</v>
      </c>
      <c r="D368" t="s">
        <v>48</v>
      </c>
      <c r="E368" t="s">
        <v>29</v>
      </c>
      <c r="F368">
        <v>49</v>
      </c>
      <c r="G368">
        <v>23</v>
      </c>
      <c r="H368">
        <v>11852</v>
      </c>
      <c r="I368" t="s">
        <v>90</v>
      </c>
      <c r="J368" t="s">
        <v>36</v>
      </c>
    </row>
    <row r="369" spans="1:10" x14ac:dyDescent="0.55000000000000004">
      <c r="A369" t="s">
        <v>785</v>
      </c>
      <c r="B369" t="s">
        <v>786</v>
      </c>
      <c r="C369" t="s">
        <v>19</v>
      </c>
      <c r="D369" t="s">
        <v>39</v>
      </c>
      <c r="E369" t="s">
        <v>29</v>
      </c>
      <c r="F369">
        <v>56</v>
      </c>
      <c r="G369">
        <v>34</v>
      </c>
      <c r="H369">
        <v>18608</v>
      </c>
      <c r="I369" t="s">
        <v>30</v>
      </c>
      <c r="J369" t="s">
        <v>36</v>
      </c>
    </row>
    <row r="370" spans="1:10" x14ac:dyDescent="0.55000000000000004">
      <c r="A370" t="s">
        <v>787</v>
      </c>
      <c r="B370" t="s">
        <v>788</v>
      </c>
      <c r="C370" t="s">
        <v>61</v>
      </c>
      <c r="D370" t="s">
        <v>62</v>
      </c>
      <c r="E370" t="s">
        <v>29</v>
      </c>
      <c r="F370">
        <v>41</v>
      </c>
      <c r="G370">
        <v>19</v>
      </c>
      <c r="H370">
        <v>11445</v>
      </c>
      <c r="I370" t="s">
        <v>21</v>
      </c>
      <c r="J370" t="s">
        <v>22</v>
      </c>
    </row>
    <row r="371" spans="1:10" x14ac:dyDescent="0.55000000000000004">
      <c r="A371" t="s">
        <v>789</v>
      </c>
      <c r="B371" t="s">
        <v>790</v>
      </c>
      <c r="C371" t="s">
        <v>47</v>
      </c>
      <c r="D371" t="s">
        <v>65</v>
      </c>
      <c r="E371" t="s">
        <v>14</v>
      </c>
      <c r="F371">
        <v>55</v>
      </c>
      <c r="G371">
        <v>3</v>
      </c>
      <c r="H371">
        <v>6813</v>
      </c>
      <c r="I371" t="s">
        <v>52</v>
      </c>
      <c r="J371" t="s">
        <v>22</v>
      </c>
    </row>
    <row r="372" spans="1:10" x14ac:dyDescent="0.55000000000000004">
      <c r="A372" t="s">
        <v>791</v>
      </c>
      <c r="B372" t="s">
        <v>792</v>
      </c>
      <c r="C372" t="s">
        <v>33</v>
      </c>
      <c r="D372" t="s">
        <v>93</v>
      </c>
      <c r="E372" t="s">
        <v>29</v>
      </c>
      <c r="F372">
        <v>37</v>
      </c>
      <c r="G372">
        <v>12</v>
      </c>
      <c r="H372">
        <v>9306</v>
      </c>
      <c r="I372" t="s">
        <v>21</v>
      </c>
      <c r="J372" t="s">
        <v>22</v>
      </c>
    </row>
    <row r="373" spans="1:10" x14ac:dyDescent="0.55000000000000004">
      <c r="A373" t="s">
        <v>793</v>
      </c>
      <c r="B373" t="s">
        <v>794</v>
      </c>
      <c r="C373" t="s">
        <v>47</v>
      </c>
      <c r="D373" t="s">
        <v>71</v>
      </c>
      <c r="E373" t="s">
        <v>29</v>
      </c>
      <c r="F373">
        <v>27</v>
      </c>
      <c r="G373">
        <v>3</v>
      </c>
      <c r="H373">
        <v>7604</v>
      </c>
      <c r="I373" t="s">
        <v>83</v>
      </c>
      <c r="J373" t="s">
        <v>22</v>
      </c>
    </row>
    <row r="374" spans="1:10" x14ac:dyDescent="0.55000000000000004">
      <c r="A374" t="s">
        <v>795</v>
      </c>
      <c r="B374" t="s">
        <v>796</v>
      </c>
      <c r="C374" t="s">
        <v>43</v>
      </c>
      <c r="D374" t="s">
        <v>44</v>
      </c>
      <c r="E374" t="s">
        <v>14</v>
      </c>
      <c r="F374">
        <v>48</v>
      </c>
      <c r="G374">
        <v>14</v>
      </c>
      <c r="H374">
        <v>9026</v>
      </c>
      <c r="I374" t="s">
        <v>21</v>
      </c>
      <c r="J374" t="s">
        <v>36</v>
      </c>
    </row>
    <row r="375" spans="1:10" x14ac:dyDescent="0.55000000000000004">
      <c r="A375" t="s">
        <v>797</v>
      </c>
      <c r="B375" t="s">
        <v>798</v>
      </c>
      <c r="C375" t="s">
        <v>47</v>
      </c>
      <c r="D375" t="s">
        <v>65</v>
      </c>
      <c r="E375" t="s">
        <v>14</v>
      </c>
      <c r="F375">
        <v>43</v>
      </c>
      <c r="G375">
        <v>1</v>
      </c>
      <c r="H375">
        <v>6738</v>
      </c>
      <c r="I375" t="s">
        <v>52</v>
      </c>
      <c r="J375" t="s">
        <v>22</v>
      </c>
    </row>
    <row r="376" spans="1:10" x14ac:dyDescent="0.55000000000000004">
      <c r="A376" t="s">
        <v>799</v>
      </c>
      <c r="B376" t="s">
        <v>800</v>
      </c>
      <c r="C376" t="s">
        <v>12</v>
      </c>
      <c r="D376" t="s">
        <v>25</v>
      </c>
      <c r="E376" t="s">
        <v>29</v>
      </c>
      <c r="F376">
        <v>57</v>
      </c>
      <c r="G376">
        <v>19</v>
      </c>
      <c r="H376">
        <v>15336</v>
      </c>
      <c r="I376" t="s">
        <v>30</v>
      </c>
      <c r="J376" t="s">
        <v>36</v>
      </c>
    </row>
    <row r="377" spans="1:10" x14ac:dyDescent="0.55000000000000004">
      <c r="A377" t="s">
        <v>801</v>
      </c>
      <c r="B377" t="s">
        <v>802</v>
      </c>
      <c r="C377" t="s">
        <v>55</v>
      </c>
      <c r="D377" t="s">
        <v>120</v>
      </c>
      <c r="E377" t="s">
        <v>14</v>
      </c>
      <c r="F377">
        <v>52</v>
      </c>
      <c r="G377">
        <v>20</v>
      </c>
      <c r="H377">
        <v>14879</v>
      </c>
      <c r="I377" t="s">
        <v>90</v>
      </c>
      <c r="J377" t="s">
        <v>40</v>
      </c>
    </row>
    <row r="378" spans="1:10" x14ac:dyDescent="0.55000000000000004">
      <c r="A378" t="s">
        <v>803</v>
      </c>
      <c r="B378" t="s">
        <v>804</v>
      </c>
      <c r="C378" t="s">
        <v>61</v>
      </c>
      <c r="D378" t="s">
        <v>188</v>
      </c>
      <c r="E378" t="s">
        <v>29</v>
      </c>
      <c r="F378">
        <v>35</v>
      </c>
      <c r="G378">
        <v>2</v>
      </c>
      <c r="H378">
        <v>5972</v>
      </c>
      <c r="I378" t="s">
        <v>21</v>
      </c>
      <c r="J378" t="s">
        <v>22</v>
      </c>
    </row>
    <row r="379" spans="1:10" x14ac:dyDescent="0.55000000000000004">
      <c r="A379" t="s">
        <v>805</v>
      </c>
      <c r="B379" t="s">
        <v>806</v>
      </c>
      <c r="C379" t="s">
        <v>12</v>
      </c>
      <c r="D379" t="s">
        <v>13</v>
      </c>
      <c r="E379" t="s">
        <v>29</v>
      </c>
      <c r="F379">
        <v>25</v>
      </c>
      <c r="G379">
        <v>3</v>
      </c>
      <c r="H379">
        <v>8952</v>
      </c>
      <c r="I379" t="s">
        <v>15</v>
      </c>
      <c r="J379" t="s">
        <v>22</v>
      </c>
    </row>
    <row r="380" spans="1:10" x14ac:dyDescent="0.55000000000000004">
      <c r="A380" t="s">
        <v>807</v>
      </c>
      <c r="B380" t="s">
        <v>808</v>
      </c>
      <c r="C380" t="s">
        <v>61</v>
      </c>
      <c r="D380" t="s">
        <v>74</v>
      </c>
      <c r="E380" t="s">
        <v>14</v>
      </c>
      <c r="F380">
        <v>29</v>
      </c>
      <c r="G380">
        <v>3</v>
      </c>
      <c r="H380">
        <v>5312</v>
      </c>
      <c r="I380" t="s">
        <v>35</v>
      </c>
      <c r="J380" t="s">
        <v>36</v>
      </c>
    </row>
    <row r="381" spans="1:10" x14ac:dyDescent="0.55000000000000004">
      <c r="A381" t="s">
        <v>809</v>
      </c>
      <c r="B381" t="s">
        <v>810</v>
      </c>
      <c r="C381" t="s">
        <v>33</v>
      </c>
      <c r="D381" t="s">
        <v>93</v>
      </c>
      <c r="E381" t="s">
        <v>29</v>
      </c>
      <c r="F381">
        <v>38</v>
      </c>
      <c r="G381">
        <v>3</v>
      </c>
      <c r="H381">
        <v>5099</v>
      </c>
      <c r="I381" t="s">
        <v>90</v>
      </c>
      <c r="J381" t="s">
        <v>22</v>
      </c>
    </row>
    <row r="382" spans="1:10" x14ac:dyDescent="0.55000000000000004">
      <c r="A382" t="s">
        <v>811</v>
      </c>
      <c r="B382" t="s">
        <v>812</v>
      </c>
      <c r="C382" t="s">
        <v>33</v>
      </c>
      <c r="D382" t="s">
        <v>34</v>
      </c>
      <c r="E382" t="s">
        <v>29</v>
      </c>
      <c r="F382">
        <v>40</v>
      </c>
      <c r="G382">
        <v>3</v>
      </c>
      <c r="H382">
        <v>6137</v>
      </c>
      <c r="I382" t="s">
        <v>30</v>
      </c>
      <c r="J382" t="s">
        <v>22</v>
      </c>
    </row>
    <row r="383" spans="1:10" x14ac:dyDescent="0.55000000000000004">
      <c r="A383" t="s">
        <v>813</v>
      </c>
      <c r="B383" t="s">
        <v>814</v>
      </c>
      <c r="C383" t="s">
        <v>12</v>
      </c>
      <c r="D383" t="s">
        <v>13</v>
      </c>
      <c r="E383" t="s">
        <v>29</v>
      </c>
      <c r="F383">
        <v>54</v>
      </c>
      <c r="G383">
        <v>16</v>
      </c>
      <c r="H383">
        <v>12588</v>
      </c>
      <c r="I383" t="s">
        <v>30</v>
      </c>
      <c r="J383" t="s">
        <v>22</v>
      </c>
    </row>
    <row r="384" spans="1:10" x14ac:dyDescent="0.55000000000000004">
      <c r="A384" t="s">
        <v>815</v>
      </c>
      <c r="B384" t="s">
        <v>816</v>
      </c>
      <c r="C384" t="s">
        <v>19</v>
      </c>
      <c r="D384" t="s">
        <v>39</v>
      </c>
      <c r="E384" t="s">
        <v>14</v>
      </c>
      <c r="F384">
        <v>45</v>
      </c>
      <c r="G384">
        <v>5</v>
      </c>
      <c r="H384">
        <v>10990</v>
      </c>
      <c r="I384" t="s">
        <v>21</v>
      </c>
      <c r="J384" t="s">
        <v>22</v>
      </c>
    </row>
    <row r="385" spans="1:10" x14ac:dyDescent="0.55000000000000004">
      <c r="A385" t="s">
        <v>817</v>
      </c>
      <c r="B385" t="s">
        <v>818</v>
      </c>
      <c r="C385" t="s">
        <v>55</v>
      </c>
      <c r="D385" t="s">
        <v>120</v>
      </c>
      <c r="E385" t="s">
        <v>29</v>
      </c>
      <c r="F385">
        <v>31</v>
      </c>
      <c r="G385">
        <v>1</v>
      </c>
      <c r="H385">
        <v>5323</v>
      </c>
      <c r="I385" t="s">
        <v>90</v>
      </c>
      <c r="J385" t="s">
        <v>36</v>
      </c>
    </row>
    <row r="386" spans="1:10" x14ac:dyDescent="0.55000000000000004">
      <c r="A386" t="s">
        <v>819</v>
      </c>
      <c r="B386" t="s">
        <v>820</v>
      </c>
      <c r="C386" t="s">
        <v>19</v>
      </c>
      <c r="D386" t="s">
        <v>20</v>
      </c>
      <c r="E386" t="s">
        <v>29</v>
      </c>
      <c r="F386">
        <v>48</v>
      </c>
      <c r="G386">
        <v>14</v>
      </c>
      <c r="H386">
        <v>15207</v>
      </c>
      <c r="I386" t="s">
        <v>21</v>
      </c>
      <c r="J386" t="s">
        <v>40</v>
      </c>
    </row>
    <row r="387" spans="1:10" x14ac:dyDescent="0.55000000000000004">
      <c r="A387" t="s">
        <v>821</v>
      </c>
      <c r="B387" t="s">
        <v>822</v>
      </c>
      <c r="C387" t="s">
        <v>47</v>
      </c>
      <c r="D387" t="s">
        <v>71</v>
      </c>
      <c r="E387" t="s">
        <v>29</v>
      </c>
      <c r="F387">
        <v>33</v>
      </c>
      <c r="G387">
        <v>12</v>
      </c>
      <c r="H387">
        <v>10254</v>
      </c>
      <c r="I387" t="s">
        <v>35</v>
      </c>
      <c r="J387" t="s">
        <v>40</v>
      </c>
    </row>
    <row r="388" spans="1:10" x14ac:dyDescent="0.55000000000000004">
      <c r="A388" t="s">
        <v>823</v>
      </c>
      <c r="B388" t="s">
        <v>824</v>
      </c>
      <c r="C388" t="s">
        <v>47</v>
      </c>
      <c r="D388" t="s">
        <v>48</v>
      </c>
      <c r="E388" t="s">
        <v>29</v>
      </c>
      <c r="F388">
        <v>45</v>
      </c>
      <c r="G388">
        <v>8</v>
      </c>
      <c r="H388">
        <v>9130</v>
      </c>
      <c r="I388" t="s">
        <v>15</v>
      </c>
      <c r="J388" t="s">
        <v>36</v>
      </c>
    </row>
    <row r="389" spans="1:10" x14ac:dyDescent="0.55000000000000004">
      <c r="A389" t="s">
        <v>825</v>
      </c>
      <c r="B389" t="s">
        <v>826</v>
      </c>
      <c r="C389" t="s">
        <v>12</v>
      </c>
      <c r="D389" t="s">
        <v>13</v>
      </c>
      <c r="E389" t="s">
        <v>29</v>
      </c>
      <c r="F389">
        <v>39</v>
      </c>
      <c r="G389">
        <v>14</v>
      </c>
      <c r="H389">
        <v>12347</v>
      </c>
      <c r="I389" t="s">
        <v>83</v>
      </c>
      <c r="J389" t="s">
        <v>22</v>
      </c>
    </row>
    <row r="390" spans="1:10" x14ac:dyDescent="0.55000000000000004">
      <c r="A390" t="s">
        <v>827</v>
      </c>
      <c r="B390" t="s">
        <v>828</v>
      </c>
      <c r="C390" t="s">
        <v>12</v>
      </c>
      <c r="D390" t="s">
        <v>28</v>
      </c>
      <c r="E390" t="s">
        <v>14</v>
      </c>
      <c r="F390">
        <v>41</v>
      </c>
      <c r="G390">
        <v>20</v>
      </c>
      <c r="H390">
        <v>11701</v>
      </c>
      <c r="I390" t="s">
        <v>90</v>
      </c>
      <c r="J390" t="s">
        <v>22</v>
      </c>
    </row>
    <row r="391" spans="1:10" x14ac:dyDescent="0.55000000000000004">
      <c r="A391" t="s">
        <v>829</v>
      </c>
      <c r="B391" t="s">
        <v>830</v>
      </c>
      <c r="C391" t="s">
        <v>12</v>
      </c>
      <c r="D391" t="s">
        <v>13</v>
      </c>
      <c r="E391" t="s">
        <v>14</v>
      </c>
      <c r="F391">
        <v>60</v>
      </c>
      <c r="G391">
        <v>21</v>
      </c>
      <c r="H391">
        <v>17148</v>
      </c>
      <c r="I391" t="s">
        <v>52</v>
      </c>
      <c r="J391" t="s">
        <v>40</v>
      </c>
    </row>
    <row r="392" spans="1:10" x14ac:dyDescent="0.55000000000000004">
      <c r="A392" t="s">
        <v>831</v>
      </c>
      <c r="B392" t="s">
        <v>832</v>
      </c>
      <c r="C392" t="s">
        <v>19</v>
      </c>
      <c r="D392" t="s">
        <v>39</v>
      </c>
      <c r="E392" t="s">
        <v>29</v>
      </c>
      <c r="F392">
        <v>44</v>
      </c>
      <c r="G392">
        <v>11</v>
      </c>
      <c r="H392">
        <v>11127</v>
      </c>
      <c r="I392" t="s">
        <v>21</v>
      </c>
      <c r="J392" t="s">
        <v>36</v>
      </c>
    </row>
    <row r="393" spans="1:10" x14ac:dyDescent="0.55000000000000004">
      <c r="A393" t="s">
        <v>833</v>
      </c>
      <c r="B393" t="s">
        <v>834</v>
      </c>
      <c r="C393" t="s">
        <v>19</v>
      </c>
      <c r="D393" t="s">
        <v>20</v>
      </c>
      <c r="E393" t="s">
        <v>14</v>
      </c>
      <c r="F393">
        <v>40</v>
      </c>
      <c r="G393">
        <v>17</v>
      </c>
      <c r="H393">
        <v>14046</v>
      </c>
      <c r="I393" t="s">
        <v>15</v>
      </c>
      <c r="J393" t="s">
        <v>40</v>
      </c>
    </row>
    <row r="394" spans="1:10" x14ac:dyDescent="0.55000000000000004">
      <c r="A394" t="s">
        <v>835</v>
      </c>
      <c r="B394" t="s">
        <v>836</v>
      </c>
      <c r="C394" t="s">
        <v>19</v>
      </c>
      <c r="D394" t="s">
        <v>39</v>
      </c>
      <c r="E394" t="s">
        <v>14</v>
      </c>
      <c r="F394">
        <v>44</v>
      </c>
      <c r="G394">
        <v>1</v>
      </c>
      <c r="H394">
        <v>7925</v>
      </c>
      <c r="I394" t="s">
        <v>30</v>
      </c>
      <c r="J394" t="s">
        <v>22</v>
      </c>
    </row>
    <row r="395" spans="1:10" x14ac:dyDescent="0.55000000000000004">
      <c r="A395" t="s">
        <v>837</v>
      </c>
      <c r="B395" t="s">
        <v>838</v>
      </c>
      <c r="C395" t="s">
        <v>47</v>
      </c>
      <c r="D395" t="s">
        <v>48</v>
      </c>
      <c r="E395" t="s">
        <v>14</v>
      </c>
      <c r="F395">
        <v>52</v>
      </c>
      <c r="G395">
        <v>29</v>
      </c>
      <c r="H395">
        <v>12943</v>
      </c>
      <c r="I395" t="s">
        <v>90</v>
      </c>
      <c r="J395" t="s">
        <v>22</v>
      </c>
    </row>
    <row r="396" spans="1:10" x14ac:dyDescent="0.55000000000000004">
      <c r="A396" t="s">
        <v>839</v>
      </c>
      <c r="B396" t="s">
        <v>840</v>
      </c>
      <c r="C396" t="s">
        <v>61</v>
      </c>
      <c r="D396" t="s">
        <v>188</v>
      </c>
      <c r="E396" t="s">
        <v>29</v>
      </c>
      <c r="F396">
        <v>41</v>
      </c>
      <c r="G396">
        <v>5</v>
      </c>
      <c r="H396">
        <v>7808</v>
      </c>
      <c r="I396" t="s">
        <v>83</v>
      </c>
      <c r="J396" t="s">
        <v>22</v>
      </c>
    </row>
    <row r="397" spans="1:10" x14ac:dyDescent="0.55000000000000004">
      <c r="A397" t="s">
        <v>841</v>
      </c>
      <c r="B397" t="s">
        <v>842</v>
      </c>
      <c r="C397" t="s">
        <v>43</v>
      </c>
      <c r="D397" t="s">
        <v>44</v>
      </c>
      <c r="E397" t="s">
        <v>29</v>
      </c>
      <c r="F397">
        <v>56</v>
      </c>
      <c r="G397">
        <v>17</v>
      </c>
      <c r="H397">
        <v>11829</v>
      </c>
      <c r="I397" t="s">
        <v>83</v>
      </c>
      <c r="J397" t="s">
        <v>22</v>
      </c>
    </row>
    <row r="398" spans="1:10" x14ac:dyDescent="0.55000000000000004">
      <c r="A398" t="s">
        <v>843</v>
      </c>
      <c r="B398" t="s">
        <v>844</v>
      </c>
      <c r="C398" t="s">
        <v>12</v>
      </c>
      <c r="D398" t="s">
        <v>28</v>
      </c>
      <c r="E398" t="s">
        <v>29</v>
      </c>
      <c r="F398">
        <v>56</v>
      </c>
      <c r="G398">
        <v>25</v>
      </c>
      <c r="H398">
        <v>13618</v>
      </c>
      <c r="I398" t="s">
        <v>15</v>
      </c>
      <c r="J398" t="s">
        <v>36</v>
      </c>
    </row>
    <row r="399" spans="1:10" x14ac:dyDescent="0.55000000000000004">
      <c r="A399" t="s">
        <v>845</v>
      </c>
      <c r="B399" t="s">
        <v>846</v>
      </c>
      <c r="C399" t="s">
        <v>19</v>
      </c>
      <c r="D399" t="s">
        <v>39</v>
      </c>
      <c r="E399" t="s">
        <v>29</v>
      </c>
      <c r="F399">
        <v>41</v>
      </c>
      <c r="G399">
        <v>4</v>
      </c>
      <c r="H399">
        <v>9733</v>
      </c>
      <c r="I399" t="s">
        <v>52</v>
      </c>
      <c r="J399" t="s">
        <v>36</v>
      </c>
    </row>
    <row r="400" spans="1:10" x14ac:dyDescent="0.55000000000000004">
      <c r="A400" t="s">
        <v>847</v>
      </c>
      <c r="B400" t="s">
        <v>848</v>
      </c>
      <c r="C400" t="s">
        <v>43</v>
      </c>
      <c r="D400" t="s">
        <v>147</v>
      </c>
      <c r="E400" t="s">
        <v>14</v>
      </c>
      <c r="F400">
        <v>41</v>
      </c>
      <c r="G400">
        <v>5</v>
      </c>
      <c r="H400">
        <v>6682</v>
      </c>
      <c r="I400" t="s">
        <v>83</v>
      </c>
      <c r="J400" t="s">
        <v>22</v>
      </c>
    </row>
    <row r="401" spans="1:10" x14ac:dyDescent="0.55000000000000004">
      <c r="A401" t="s">
        <v>849</v>
      </c>
      <c r="B401" t="s">
        <v>850</v>
      </c>
      <c r="C401" t="s">
        <v>12</v>
      </c>
      <c r="D401" t="s">
        <v>13</v>
      </c>
      <c r="E401" t="s">
        <v>29</v>
      </c>
      <c r="F401">
        <v>37</v>
      </c>
      <c r="G401">
        <v>9</v>
      </c>
      <c r="H401">
        <v>8616</v>
      </c>
      <c r="I401" t="s">
        <v>90</v>
      </c>
      <c r="J401" t="s">
        <v>36</v>
      </c>
    </row>
    <row r="402" spans="1:10" x14ac:dyDescent="0.55000000000000004">
      <c r="A402" t="s">
        <v>851</v>
      </c>
      <c r="B402" t="s">
        <v>852</v>
      </c>
      <c r="C402" t="s">
        <v>55</v>
      </c>
      <c r="D402" t="s">
        <v>80</v>
      </c>
      <c r="E402" t="s">
        <v>29</v>
      </c>
      <c r="F402">
        <v>56</v>
      </c>
      <c r="G402">
        <v>6</v>
      </c>
      <c r="H402">
        <v>7174</v>
      </c>
      <c r="I402" t="s">
        <v>90</v>
      </c>
      <c r="J402" t="s">
        <v>36</v>
      </c>
    </row>
    <row r="403" spans="1:10" x14ac:dyDescent="0.55000000000000004">
      <c r="A403" t="s">
        <v>853</v>
      </c>
      <c r="B403" t="s">
        <v>854</v>
      </c>
      <c r="C403" t="s">
        <v>61</v>
      </c>
      <c r="D403" t="s">
        <v>62</v>
      </c>
      <c r="E403" t="s">
        <v>14</v>
      </c>
      <c r="F403">
        <v>42</v>
      </c>
      <c r="G403">
        <v>12</v>
      </c>
      <c r="H403">
        <v>12224</v>
      </c>
      <c r="I403" t="s">
        <v>21</v>
      </c>
      <c r="J403" t="s">
        <v>22</v>
      </c>
    </row>
    <row r="404" spans="1:10" x14ac:dyDescent="0.55000000000000004">
      <c r="A404" t="s">
        <v>855</v>
      </c>
      <c r="B404" t="s">
        <v>856</v>
      </c>
      <c r="C404" t="s">
        <v>12</v>
      </c>
      <c r="D404" t="s">
        <v>28</v>
      </c>
      <c r="E404" t="s">
        <v>14</v>
      </c>
      <c r="F404">
        <v>30</v>
      </c>
      <c r="G404">
        <v>8</v>
      </c>
      <c r="H404">
        <v>11194</v>
      </c>
      <c r="I404" t="s">
        <v>15</v>
      </c>
      <c r="J404" t="s">
        <v>40</v>
      </c>
    </row>
    <row r="405" spans="1:10" x14ac:dyDescent="0.55000000000000004">
      <c r="A405" t="s">
        <v>857</v>
      </c>
      <c r="B405" t="s">
        <v>858</v>
      </c>
      <c r="C405" t="s">
        <v>47</v>
      </c>
      <c r="D405" t="s">
        <v>71</v>
      </c>
      <c r="E405" t="s">
        <v>29</v>
      </c>
      <c r="F405">
        <v>46</v>
      </c>
      <c r="G405">
        <v>16</v>
      </c>
      <c r="H405">
        <v>12858</v>
      </c>
      <c r="I405" t="s">
        <v>15</v>
      </c>
      <c r="J405" t="s">
        <v>22</v>
      </c>
    </row>
    <row r="406" spans="1:10" x14ac:dyDescent="0.55000000000000004">
      <c r="A406" t="s">
        <v>859</v>
      </c>
      <c r="B406" t="s">
        <v>860</v>
      </c>
      <c r="C406" t="s">
        <v>33</v>
      </c>
      <c r="D406" t="s">
        <v>34</v>
      </c>
      <c r="E406" t="s">
        <v>14</v>
      </c>
      <c r="F406">
        <v>45</v>
      </c>
      <c r="G406">
        <v>1</v>
      </c>
      <c r="H406">
        <v>4776</v>
      </c>
      <c r="I406" t="s">
        <v>90</v>
      </c>
      <c r="J406" t="s">
        <v>40</v>
      </c>
    </row>
    <row r="407" spans="1:10" x14ac:dyDescent="0.55000000000000004">
      <c r="A407" t="s">
        <v>861</v>
      </c>
      <c r="B407" t="s">
        <v>862</v>
      </c>
      <c r="C407" t="s">
        <v>12</v>
      </c>
      <c r="D407" t="s">
        <v>28</v>
      </c>
      <c r="E407" t="s">
        <v>14</v>
      </c>
      <c r="F407">
        <v>30</v>
      </c>
      <c r="G407">
        <v>7</v>
      </c>
      <c r="H407">
        <v>8950</v>
      </c>
      <c r="I407" t="s">
        <v>15</v>
      </c>
      <c r="J407" t="s">
        <v>40</v>
      </c>
    </row>
    <row r="408" spans="1:10" x14ac:dyDescent="0.55000000000000004">
      <c r="A408" t="s">
        <v>863</v>
      </c>
      <c r="B408" t="s">
        <v>864</v>
      </c>
      <c r="C408" t="s">
        <v>19</v>
      </c>
      <c r="D408" t="s">
        <v>20</v>
      </c>
      <c r="E408" t="s">
        <v>29</v>
      </c>
      <c r="F408">
        <v>24</v>
      </c>
      <c r="G408">
        <v>1</v>
      </c>
      <c r="H408">
        <v>8385</v>
      </c>
      <c r="I408" t="s">
        <v>83</v>
      </c>
      <c r="J408" t="s">
        <v>40</v>
      </c>
    </row>
    <row r="409" spans="1:10" x14ac:dyDescent="0.55000000000000004">
      <c r="A409" t="s">
        <v>865</v>
      </c>
      <c r="B409" t="s">
        <v>866</v>
      </c>
      <c r="C409" t="s">
        <v>61</v>
      </c>
      <c r="D409" t="s">
        <v>62</v>
      </c>
      <c r="E409" t="s">
        <v>29</v>
      </c>
      <c r="F409">
        <v>57</v>
      </c>
      <c r="G409">
        <v>33</v>
      </c>
      <c r="H409">
        <v>12697</v>
      </c>
      <c r="I409" t="s">
        <v>35</v>
      </c>
      <c r="J409" t="s">
        <v>36</v>
      </c>
    </row>
    <row r="410" spans="1:10" x14ac:dyDescent="0.55000000000000004">
      <c r="A410" t="s">
        <v>867</v>
      </c>
      <c r="B410" t="s">
        <v>868</v>
      </c>
      <c r="C410" t="s">
        <v>33</v>
      </c>
      <c r="D410" t="s">
        <v>34</v>
      </c>
      <c r="E410" t="s">
        <v>29</v>
      </c>
      <c r="F410">
        <v>60</v>
      </c>
      <c r="G410">
        <v>4</v>
      </c>
      <c r="H410">
        <v>6518</v>
      </c>
      <c r="I410" t="s">
        <v>35</v>
      </c>
      <c r="J410" t="s">
        <v>40</v>
      </c>
    </row>
    <row r="411" spans="1:10" x14ac:dyDescent="0.55000000000000004">
      <c r="A411" t="s">
        <v>869</v>
      </c>
      <c r="B411" t="s">
        <v>870</v>
      </c>
      <c r="C411" t="s">
        <v>61</v>
      </c>
      <c r="D411" t="s">
        <v>74</v>
      </c>
      <c r="E411" t="s">
        <v>29</v>
      </c>
      <c r="F411">
        <v>51</v>
      </c>
      <c r="G411">
        <v>20</v>
      </c>
      <c r="H411">
        <v>12135</v>
      </c>
      <c r="I411" t="s">
        <v>21</v>
      </c>
      <c r="J411" t="s">
        <v>22</v>
      </c>
    </row>
    <row r="412" spans="1:10" x14ac:dyDescent="0.55000000000000004">
      <c r="A412" t="s">
        <v>871</v>
      </c>
      <c r="B412" t="s">
        <v>872</v>
      </c>
      <c r="C412" t="s">
        <v>33</v>
      </c>
      <c r="D412" t="s">
        <v>34</v>
      </c>
      <c r="E412" t="s">
        <v>29</v>
      </c>
      <c r="F412">
        <v>27</v>
      </c>
      <c r="G412">
        <v>2</v>
      </c>
      <c r="H412">
        <v>6367</v>
      </c>
      <c r="I412" t="s">
        <v>30</v>
      </c>
      <c r="J412" t="s">
        <v>22</v>
      </c>
    </row>
    <row r="413" spans="1:10" x14ac:dyDescent="0.55000000000000004">
      <c r="A413" t="s">
        <v>873</v>
      </c>
      <c r="B413" t="s">
        <v>874</v>
      </c>
      <c r="C413" t="s">
        <v>12</v>
      </c>
      <c r="D413" t="s">
        <v>25</v>
      </c>
      <c r="E413" t="s">
        <v>14</v>
      </c>
      <c r="F413">
        <v>38</v>
      </c>
      <c r="G413">
        <v>2</v>
      </c>
      <c r="H413">
        <v>8388</v>
      </c>
      <c r="I413" t="s">
        <v>21</v>
      </c>
      <c r="J413" t="s">
        <v>22</v>
      </c>
    </row>
    <row r="414" spans="1:10" x14ac:dyDescent="0.55000000000000004">
      <c r="A414" t="s">
        <v>875</v>
      </c>
      <c r="B414" t="s">
        <v>196</v>
      </c>
      <c r="C414" t="s">
        <v>33</v>
      </c>
      <c r="D414" t="s">
        <v>77</v>
      </c>
      <c r="E414" t="s">
        <v>29</v>
      </c>
      <c r="F414">
        <v>30</v>
      </c>
      <c r="G414">
        <v>4</v>
      </c>
      <c r="H414">
        <v>5495</v>
      </c>
      <c r="I414" t="s">
        <v>83</v>
      </c>
      <c r="J414" t="s">
        <v>36</v>
      </c>
    </row>
    <row r="415" spans="1:10" x14ac:dyDescent="0.55000000000000004">
      <c r="A415" t="s">
        <v>876</v>
      </c>
      <c r="B415" t="s">
        <v>877</v>
      </c>
      <c r="C415" t="s">
        <v>55</v>
      </c>
      <c r="D415" t="s">
        <v>56</v>
      </c>
      <c r="E415" t="s">
        <v>14</v>
      </c>
      <c r="F415">
        <v>52</v>
      </c>
      <c r="G415">
        <v>26</v>
      </c>
      <c r="H415">
        <v>17609</v>
      </c>
      <c r="I415" t="s">
        <v>35</v>
      </c>
      <c r="J415" t="s">
        <v>36</v>
      </c>
    </row>
    <row r="416" spans="1:10" x14ac:dyDescent="0.55000000000000004">
      <c r="A416" t="s">
        <v>878</v>
      </c>
      <c r="B416" t="s">
        <v>879</v>
      </c>
      <c r="C416" t="s">
        <v>12</v>
      </c>
      <c r="D416" t="s">
        <v>25</v>
      </c>
      <c r="E416" t="s">
        <v>14</v>
      </c>
      <c r="F416">
        <v>52</v>
      </c>
      <c r="G416">
        <v>27</v>
      </c>
      <c r="H416">
        <v>14511</v>
      </c>
      <c r="I416" t="s">
        <v>52</v>
      </c>
      <c r="J416" t="s">
        <v>22</v>
      </c>
    </row>
    <row r="417" spans="1:10" x14ac:dyDescent="0.55000000000000004">
      <c r="A417" t="s">
        <v>880</v>
      </c>
      <c r="B417" t="s">
        <v>881</v>
      </c>
      <c r="C417" t="s">
        <v>47</v>
      </c>
      <c r="D417" t="s">
        <v>48</v>
      </c>
      <c r="E417" t="s">
        <v>29</v>
      </c>
      <c r="F417">
        <v>47</v>
      </c>
      <c r="G417">
        <v>14</v>
      </c>
      <c r="H417">
        <v>9652</v>
      </c>
      <c r="I417" t="s">
        <v>30</v>
      </c>
      <c r="J417" t="s">
        <v>22</v>
      </c>
    </row>
    <row r="418" spans="1:10" x14ac:dyDescent="0.55000000000000004">
      <c r="A418" t="s">
        <v>882</v>
      </c>
      <c r="B418" t="s">
        <v>883</v>
      </c>
      <c r="C418" t="s">
        <v>33</v>
      </c>
      <c r="D418" t="s">
        <v>93</v>
      </c>
      <c r="E418" t="s">
        <v>14</v>
      </c>
      <c r="F418">
        <v>52</v>
      </c>
      <c r="G418">
        <v>13</v>
      </c>
      <c r="H418">
        <v>10238</v>
      </c>
      <c r="I418" t="s">
        <v>30</v>
      </c>
      <c r="J418" t="s">
        <v>22</v>
      </c>
    </row>
    <row r="419" spans="1:10" x14ac:dyDescent="0.55000000000000004">
      <c r="A419" t="s">
        <v>884</v>
      </c>
      <c r="B419" t="s">
        <v>885</v>
      </c>
      <c r="C419" t="s">
        <v>12</v>
      </c>
      <c r="D419" t="s">
        <v>13</v>
      </c>
      <c r="E419" t="s">
        <v>14</v>
      </c>
      <c r="F419">
        <v>60</v>
      </c>
      <c r="G419">
        <v>13</v>
      </c>
      <c r="H419">
        <v>13715</v>
      </c>
      <c r="I419" t="s">
        <v>15</v>
      </c>
      <c r="J419" t="s">
        <v>36</v>
      </c>
    </row>
    <row r="420" spans="1:10" x14ac:dyDescent="0.55000000000000004">
      <c r="A420" t="s">
        <v>886</v>
      </c>
      <c r="B420" t="s">
        <v>887</v>
      </c>
      <c r="C420" t="s">
        <v>33</v>
      </c>
      <c r="D420" t="s">
        <v>34</v>
      </c>
      <c r="E420" t="s">
        <v>14</v>
      </c>
      <c r="F420">
        <v>31</v>
      </c>
      <c r="G420">
        <v>6</v>
      </c>
      <c r="H420">
        <v>7942</v>
      </c>
      <c r="I420" t="s">
        <v>52</v>
      </c>
      <c r="J420" t="s">
        <v>22</v>
      </c>
    </row>
    <row r="421" spans="1:10" x14ac:dyDescent="0.55000000000000004">
      <c r="A421" t="s">
        <v>888</v>
      </c>
      <c r="B421" t="s">
        <v>889</v>
      </c>
      <c r="C421" t="s">
        <v>55</v>
      </c>
      <c r="D421" t="s">
        <v>80</v>
      </c>
      <c r="E421" t="s">
        <v>14</v>
      </c>
      <c r="F421">
        <v>48</v>
      </c>
      <c r="G421">
        <v>19</v>
      </c>
      <c r="H421">
        <v>13134</v>
      </c>
      <c r="I421" t="s">
        <v>52</v>
      </c>
      <c r="J421" t="s">
        <v>22</v>
      </c>
    </row>
    <row r="422" spans="1:10" x14ac:dyDescent="0.55000000000000004">
      <c r="A422" t="s">
        <v>890</v>
      </c>
      <c r="B422" t="s">
        <v>891</v>
      </c>
      <c r="C422" t="s">
        <v>55</v>
      </c>
      <c r="D422" t="s">
        <v>120</v>
      </c>
      <c r="E422" t="s">
        <v>29</v>
      </c>
      <c r="F422">
        <v>28</v>
      </c>
      <c r="G422">
        <v>2</v>
      </c>
      <c r="H422">
        <v>6654</v>
      </c>
      <c r="I422" t="s">
        <v>21</v>
      </c>
      <c r="J422" t="s">
        <v>22</v>
      </c>
    </row>
    <row r="423" spans="1:10" x14ac:dyDescent="0.55000000000000004">
      <c r="A423" t="s">
        <v>892</v>
      </c>
      <c r="B423" t="s">
        <v>893</v>
      </c>
      <c r="C423" t="s">
        <v>19</v>
      </c>
      <c r="D423" t="s">
        <v>20</v>
      </c>
      <c r="E423" t="s">
        <v>29</v>
      </c>
      <c r="F423">
        <v>55</v>
      </c>
      <c r="G423">
        <v>32</v>
      </c>
      <c r="H423">
        <v>19554</v>
      </c>
      <c r="I423" t="s">
        <v>52</v>
      </c>
      <c r="J423" t="s">
        <v>36</v>
      </c>
    </row>
    <row r="424" spans="1:10" x14ac:dyDescent="0.55000000000000004">
      <c r="A424" t="s">
        <v>894</v>
      </c>
      <c r="B424" t="s">
        <v>895</v>
      </c>
      <c r="C424" t="s">
        <v>55</v>
      </c>
      <c r="D424" t="s">
        <v>56</v>
      </c>
      <c r="E424" t="s">
        <v>14</v>
      </c>
      <c r="F424">
        <v>54</v>
      </c>
      <c r="G424">
        <v>9</v>
      </c>
      <c r="H424">
        <v>10276</v>
      </c>
      <c r="I424" t="s">
        <v>52</v>
      </c>
      <c r="J424" t="s">
        <v>40</v>
      </c>
    </row>
    <row r="425" spans="1:10" x14ac:dyDescent="0.55000000000000004">
      <c r="A425" t="s">
        <v>896</v>
      </c>
      <c r="B425" t="s">
        <v>897</v>
      </c>
      <c r="C425" t="s">
        <v>43</v>
      </c>
      <c r="D425" t="s">
        <v>68</v>
      </c>
      <c r="E425" t="s">
        <v>29</v>
      </c>
      <c r="F425">
        <v>45</v>
      </c>
      <c r="G425">
        <v>24</v>
      </c>
      <c r="H425">
        <v>13187</v>
      </c>
      <c r="I425" t="s">
        <v>15</v>
      </c>
      <c r="J425" t="s">
        <v>16</v>
      </c>
    </row>
    <row r="426" spans="1:10" x14ac:dyDescent="0.55000000000000004">
      <c r="A426" t="s">
        <v>898</v>
      </c>
      <c r="B426" t="s">
        <v>899</v>
      </c>
      <c r="C426" t="s">
        <v>43</v>
      </c>
      <c r="D426" t="s">
        <v>68</v>
      </c>
      <c r="E426" t="s">
        <v>14</v>
      </c>
      <c r="F426">
        <v>45</v>
      </c>
      <c r="G426">
        <v>16</v>
      </c>
      <c r="H426">
        <v>14126</v>
      </c>
      <c r="I426" t="s">
        <v>90</v>
      </c>
      <c r="J426" t="s">
        <v>22</v>
      </c>
    </row>
    <row r="427" spans="1:10" x14ac:dyDescent="0.55000000000000004">
      <c r="A427" t="s">
        <v>900</v>
      </c>
      <c r="B427" t="s">
        <v>901</v>
      </c>
      <c r="C427" t="s">
        <v>43</v>
      </c>
      <c r="D427" t="s">
        <v>147</v>
      </c>
      <c r="E427" t="s">
        <v>29</v>
      </c>
      <c r="F427">
        <v>49</v>
      </c>
      <c r="G427">
        <v>24</v>
      </c>
      <c r="H427">
        <v>14875</v>
      </c>
      <c r="I427" t="s">
        <v>52</v>
      </c>
      <c r="J427" t="s">
        <v>36</v>
      </c>
    </row>
    <row r="428" spans="1:10" x14ac:dyDescent="0.55000000000000004">
      <c r="A428" t="s">
        <v>902</v>
      </c>
      <c r="B428" t="s">
        <v>903</v>
      </c>
      <c r="C428" t="s">
        <v>55</v>
      </c>
      <c r="D428" t="s">
        <v>56</v>
      </c>
      <c r="E428" t="s">
        <v>14</v>
      </c>
      <c r="F428">
        <v>27</v>
      </c>
      <c r="G428">
        <v>1</v>
      </c>
      <c r="H428">
        <v>5577</v>
      </c>
      <c r="I428" t="s">
        <v>52</v>
      </c>
      <c r="J428" t="s">
        <v>22</v>
      </c>
    </row>
    <row r="429" spans="1:10" x14ac:dyDescent="0.55000000000000004">
      <c r="A429" t="s">
        <v>904</v>
      </c>
      <c r="B429" t="s">
        <v>905</v>
      </c>
      <c r="C429" t="s">
        <v>43</v>
      </c>
      <c r="D429" t="s">
        <v>147</v>
      </c>
      <c r="E429" t="s">
        <v>29</v>
      </c>
      <c r="F429">
        <v>53</v>
      </c>
      <c r="G429">
        <v>7</v>
      </c>
      <c r="H429">
        <v>7635</v>
      </c>
      <c r="I429" t="s">
        <v>35</v>
      </c>
      <c r="J429" t="s">
        <v>36</v>
      </c>
    </row>
    <row r="430" spans="1:10" x14ac:dyDescent="0.55000000000000004">
      <c r="A430" t="s">
        <v>906</v>
      </c>
      <c r="B430" t="s">
        <v>907</v>
      </c>
      <c r="C430" t="s">
        <v>55</v>
      </c>
      <c r="D430" t="s">
        <v>80</v>
      </c>
      <c r="E430" t="s">
        <v>14</v>
      </c>
      <c r="F430">
        <v>54</v>
      </c>
      <c r="G430">
        <v>17</v>
      </c>
      <c r="H430">
        <v>12897</v>
      </c>
      <c r="I430" t="s">
        <v>30</v>
      </c>
      <c r="J430" t="s">
        <v>22</v>
      </c>
    </row>
    <row r="431" spans="1:10" x14ac:dyDescent="0.55000000000000004">
      <c r="A431" t="s">
        <v>908</v>
      </c>
      <c r="B431" t="s">
        <v>909</v>
      </c>
      <c r="C431" t="s">
        <v>61</v>
      </c>
      <c r="D431" t="s">
        <v>74</v>
      </c>
      <c r="E431" t="s">
        <v>14</v>
      </c>
      <c r="F431">
        <v>52</v>
      </c>
      <c r="G431">
        <v>3</v>
      </c>
      <c r="H431">
        <v>7125</v>
      </c>
      <c r="I431" t="s">
        <v>83</v>
      </c>
      <c r="J431" t="s">
        <v>22</v>
      </c>
    </row>
    <row r="432" spans="1:10" x14ac:dyDescent="0.55000000000000004">
      <c r="A432" t="s">
        <v>910</v>
      </c>
      <c r="B432" t="s">
        <v>911</v>
      </c>
      <c r="C432" t="s">
        <v>47</v>
      </c>
      <c r="D432" t="s">
        <v>65</v>
      </c>
      <c r="E432" t="s">
        <v>14</v>
      </c>
      <c r="F432">
        <v>35</v>
      </c>
      <c r="G432">
        <v>8</v>
      </c>
      <c r="H432">
        <v>8326</v>
      </c>
      <c r="I432" t="s">
        <v>30</v>
      </c>
      <c r="J432" t="s">
        <v>36</v>
      </c>
    </row>
    <row r="433" spans="1:10" x14ac:dyDescent="0.55000000000000004">
      <c r="A433" t="s">
        <v>912</v>
      </c>
      <c r="B433" t="s">
        <v>913</v>
      </c>
      <c r="C433" t="s">
        <v>61</v>
      </c>
      <c r="D433" t="s">
        <v>74</v>
      </c>
      <c r="E433" t="s">
        <v>14</v>
      </c>
      <c r="F433">
        <v>30</v>
      </c>
      <c r="G433">
        <v>3</v>
      </c>
      <c r="H433">
        <v>6003</v>
      </c>
      <c r="I433" t="s">
        <v>90</v>
      </c>
      <c r="J433" t="s">
        <v>22</v>
      </c>
    </row>
    <row r="434" spans="1:10" x14ac:dyDescent="0.55000000000000004">
      <c r="A434" t="s">
        <v>914</v>
      </c>
      <c r="B434" t="s">
        <v>915</v>
      </c>
      <c r="C434" t="s">
        <v>47</v>
      </c>
      <c r="D434" t="s">
        <v>71</v>
      </c>
      <c r="E434" t="s">
        <v>29</v>
      </c>
      <c r="F434">
        <v>22</v>
      </c>
      <c r="G434">
        <v>1</v>
      </c>
      <c r="H434">
        <v>6208</v>
      </c>
      <c r="I434" t="s">
        <v>15</v>
      </c>
      <c r="J434" t="s">
        <v>22</v>
      </c>
    </row>
    <row r="435" spans="1:10" x14ac:dyDescent="0.55000000000000004">
      <c r="A435" t="s">
        <v>916</v>
      </c>
      <c r="B435" t="s">
        <v>917</v>
      </c>
      <c r="C435" t="s">
        <v>12</v>
      </c>
      <c r="D435" t="s">
        <v>13</v>
      </c>
      <c r="E435" t="s">
        <v>29</v>
      </c>
      <c r="F435">
        <v>25</v>
      </c>
      <c r="G435">
        <v>4</v>
      </c>
      <c r="H435">
        <v>7753</v>
      </c>
      <c r="I435" t="s">
        <v>30</v>
      </c>
      <c r="J435" t="s">
        <v>40</v>
      </c>
    </row>
    <row r="436" spans="1:10" x14ac:dyDescent="0.55000000000000004">
      <c r="A436" t="s">
        <v>918</v>
      </c>
      <c r="B436" t="s">
        <v>919</v>
      </c>
      <c r="C436" t="s">
        <v>55</v>
      </c>
      <c r="D436" t="s">
        <v>56</v>
      </c>
      <c r="E436" t="s">
        <v>14</v>
      </c>
      <c r="F436">
        <v>56</v>
      </c>
      <c r="G436">
        <v>21</v>
      </c>
      <c r="H436">
        <v>12739</v>
      </c>
      <c r="I436" t="s">
        <v>90</v>
      </c>
      <c r="J436" t="s">
        <v>22</v>
      </c>
    </row>
    <row r="437" spans="1:10" x14ac:dyDescent="0.55000000000000004">
      <c r="A437" t="s">
        <v>920</v>
      </c>
      <c r="B437" t="s">
        <v>921</v>
      </c>
      <c r="C437" t="s">
        <v>19</v>
      </c>
      <c r="D437" t="s">
        <v>20</v>
      </c>
      <c r="E437" t="s">
        <v>29</v>
      </c>
      <c r="F437">
        <v>44</v>
      </c>
      <c r="G437">
        <v>1</v>
      </c>
      <c r="H437">
        <v>9021</v>
      </c>
      <c r="I437" t="s">
        <v>35</v>
      </c>
      <c r="J437" t="s">
        <v>22</v>
      </c>
    </row>
    <row r="438" spans="1:10" x14ac:dyDescent="0.55000000000000004">
      <c r="A438" t="s">
        <v>922</v>
      </c>
      <c r="B438" t="s">
        <v>923</v>
      </c>
      <c r="C438" t="s">
        <v>12</v>
      </c>
      <c r="D438" t="s">
        <v>28</v>
      </c>
      <c r="E438" t="s">
        <v>14</v>
      </c>
      <c r="F438">
        <v>41</v>
      </c>
      <c r="G438">
        <v>15</v>
      </c>
      <c r="H438">
        <v>14080</v>
      </c>
      <c r="I438" t="s">
        <v>83</v>
      </c>
      <c r="J438" t="s">
        <v>40</v>
      </c>
    </row>
    <row r="439" spans="1:10" x14ac:dyDescent="0.55000000000000004">
      <c r="A439" t="s">
        <v>924</v>
      </c>
      <c r="B439" t="s">
        <v>925</v>
      </c>
      <c r="C439" t="s">
        <v>19</v>
      </c>
      <c r="D439" t="s">
        <v>39</v>
      </c>
      <c r="E439" t="s">
        <v>29</v>
      </c>
      <c r="F439">
        <v>43</v>
      </c>
      <c r="G439">
        <v>21</v>
      </c>
      <c r="H439">
        <v>14152</v>
      </c>
      <c r="I439" t="s">
        <v>52</v>
      </c>
      <c r="J439" t="s">
        <v>16</v>
      </c>
    </row>
    <row r="440" spans="1:10" x14ac:dyDescent="0.55000000000000004">
      <c r="A440" t="s">
        <v>926</v>
      </c>
      <c r="B440" t="s">
        <v>927</v>
      </c>
      <c r="C440" t="s">
        <v>55</v>
      </c>
      <c r="D440" t="s">
        <v>80</v>
      </c>
      <c r="E440" t="s">
        <v>14</v>
      </c>
      <c r="F440">
        <v>47</v>
      </c>
      <c r="G440">
        <v>2</v>
      </c>
      <c r="H440">
        <v>6909</v>
      </c>
      <c r="I440" t="s">
        <v>21</v>
      </c>
      <c r="J440" t="s">
        <v>22</v>
      </c>
    </row>
    <row r="441" spans="1:10" x14ac:dyDescent="0.55000000000000004">
      <c r="A441" t="s">
        <v>928</v>
      </c>
      <c r="B441" t="s">
        <v>929</v>
      </c>
      <c r="C441" t="s">
        <v>43</v>
      </c>
      <c r="D441" t="s">
        <v>68</v>
      </c>
      <c r="E441" t="s">
        <v>29</v>
      </c>
      <c r="F441">
        <v>45</v>
      </c>
      <c r="G441">
        <v>24</v>
      </c>
      <c r="H441">
        <v>13265</v>
      </c>
      <c r="I441" t="s">
        <v>15</v>
      </c>
      <c r="J441" t="s">
        <v>22</v>
      </c>
    </row>
    <row r="442" spans="1:10" x14ac:dyDescent="0.55000000000000004">
      <c r="A442" t="s">
        <v>930</v>
      </c>
      <c r="B442" t="s">
        <v>931</v>
      </c>
      <c r="C442" t="s">
        <v>33</v>
      </c>
      <c r="D442" t="s">
        <v>34</v>
      </c>
      <c r="E442" t="s">
        <v>29</v>
      </c>
      <c r="F442">
        <v>22</v>
      </c>
      <c r="G442">
        <v>0</v>
      </c>
      <c r="H442">
        <v>5778</v>
      </c>
      <c r="I442" t="s">
        <v>30</v>
      </c>
      <c r="J442" t="s">
        <v>40</v>
      </c>
    </row>
    <row r="443" spans="1:10" x14ac:dyDescent="0.55000000000000004">
      <c r="A443" t="s">
        <v>932</v>
      </c>
      <c r="B443" t="s">
        <v>933</v>
      </c>
      <c r="C443" t="s">
        <v>61</v>
      </c>
      <c r="D443" t="s">
        <v>74</v>
      </c>
      <c r="E443" t="s">
        <v>14</v>
      </c>
      <c r="F443">
        <v>29</v>
      </c>
      <c r="G443">
        <v>2</v>
      </c>
      <c r="H443">
        <v>6677</v>
      </c>
      <c r="I443" t="s">
        <v>35</v>
      </c>
      <c r="J443" t="s">
        <v>40</v>
      </c>
    </row>
    <row r="444" spans="1:10" x14ac:dyDescent="0.55000000000000004">
      <c r="A444" t="s">
        <v>934</v>
      </c>
      <c r="B444" t="s">
        <v>935</v>
      </c>
      <c r="C444" t="s">
        <v>19</v>
      </c>
      <c r="D444" t="s">
        <v>39</v>
      </c>
      <c r="E444" t="s">
        <v>14</v>
      </c>
      <c r="F444">
        <v>47</v>
      </c>
      <c r="G444">
        <v>24</v>
      </c>
      <c r="H444">
        <v>19612</v>
      </c>
      <c r="I444" t="s">
        <v>15</v>
      </c>
      <c r="J444" t="s">
        <v>22</v>
      </c>
    </row>
    <row r="445" spans="1:10" x14ac:dyDescent="0.55000000000000004">
      <c r="A445" t="s">
        <v>936</v>
      </c>
      <c r="B445" t="s">
        <v>937</v>
      </c>
      <c r="C445" t="s">
        <v>61</v>
      </c>
      <c r="D445" t="s">
        <v>62</v>
      </c>
      <c r="E445" t="s">
        <v>29</v>
      </c>
      <c r="F445">
        <v>40</v>
      </c>
      <c r="G445">
        <v>11</v>
      </c>
      <c r="H445">
        <v>8444</v>
      </c>
      <c r="I445" t="s">
        <v>30</v>
      </c>
      <c r="J445" t="s">
        <v>40</v>
      </c>
    </row>
    <row r="446" spans="1:10" x14ac:dyDescent="0.55000000000000004">
      <c r="A446" t="s">
        <v>938</v>
      </c>
      <c r="B446" t="s">
        <v>939</v>
      </c>
      <c r="C446" t="s">
        <v>43</v>
      </c>
      <c r="D446" t="s">
        <v>68</v>
      </c>
      <c r="E446" t="s">
        <v>14</v>
      </c>
      <c r="F446">
        <v>30</v>
      </c>
      <c r="G446">
        <v>5</v>
      </c>
      <c r="H446">
        <v>7980</v>
      </c>
      <c r="I446" t="s">
        <v>30</v>
      </c>
      <c r="J446" t="s">
        <v>40</v>
      </c>
    </row>
    <row r="447" spans="1:10" x14ac:dyDescent="0.55000000000000004">
      <c r="A447" t="s">
        <v>940</v>
      </c>
      <c r="B447" t="s">
        <v>941</v>
      </c>
      <c r="C447" t="s">
        <v>55</v>
      </c>
      <c r="D447" t="s">
        <v>56</v>
      </c>
      <c r="E447" t="s">
        <v>14</v>
      </c>
      <c r="F447">
        <v>37</v>
      </c>
      <c r="G447">
        <v>11</v>
      </c>
      <c r="H447">
        <v>11148</v>
      </c>
      <c r="I447" t="s">
        <v>35</v>
      </c>
      <c r="J447" t="s">
        <v>40</v>
      </c>
    </row>
    <row r="448" spans="1:10" x14ac:dyDescent="0.55000000000000004">
      <c r="A448" t="s">
        <v>942</v>
      </c>
      <c r="B448" t="s">
        <v>943</v>
      </c>
      <c r="C448" t="s">
        <v>47</v>
      </c>
      <c r="D448" t="s">
        <v>48</v>
      </c>
      <c r="E448" t="s">
        <v>29</v>
      </c>
      <c r="F448">
        <v>59</v>
      </c>
      <c r="G448">
        <v>19</v>
      </c>
      <c r="H448">
        <v>10338</v>
      </c>
      <c r="I448" t="s">
        <v>52</v>
      </c>
      <c r="J448" t="s">
        <v>36</v>
      </c>
    </row>
    <row r="449" spans="1:10" x14ac:dyDescent="0.55000000000000004">
      <c r="A449" t="s">
        <v>944</v>
      </c>
      <c r="B449" t="s">
        <v>945</v>
      </c>
      <c r="C449" t="s">
        <v>19</v>
      </c>
      <c r="D449" t="s">
        <v>39</v>
      </c>
      <c r="E449" t="s">
        <v>29</v>
      </c>
      <c r="F449">
        <v>50</v>
      </c>
      <c r="G449">
        <v>25</v>
      </c>
      <c r="H449">
        <v>17211</v>
      </c>
      <c r="I449" t="s">
        <v>15</v>
      </c>
      <c r="J449" t="s">
        <v>22</v>
      </c>
    </row>
    <row r="450" spans="1:10" x14ac:dyDescent="0.55000000000000004">
      <c r="A450" t="s">
        <v>946</v>
      </c>
      <c r="B450" t="s">
        <v>947</v>
      </c>
      <c r="C450" t="s">
        <v>12</v>
      </c>
      <c r="D450" t="s">
        <v>25</v>
      </c>
      <c r="E450" t="s">
        <v>29</v>
      </c>
      <c r="F450">
        <v>32</v>
      </c>
      <c r="G450">
        <v>11</v>
      </c>
      <c r="H450">
        <v>11632</v>
      </c>
      <c r="I450" t="s">
        <v>52</v>
      </c>
      <c r="J450" t="s">
        <v>22</v>
      </c>
    </row>
    <row r="451" spans="1:10" x14ac:dyDescent="0.55000000000000004">
      <c r="A451" t="s">
        <v>948</v>
      </c>
      <c r="B451" t="s">
        <v>949</v>
      </c>
      <c r="C451" t="s">
        <v>55</v>
      </c>
      <c r="D451" t="s">
        <v>120</v>
      </c>
      <c r="E451" t="s">
        <v>14</v>
      </c>
      <c r="F451">
        <v>48</v>
      </c>
      <c r="G451">
        <v>2</v>
      </c>
      <c r="H451">
        <v>5396</v>
      </c>
      <c r="I451" t="s">
        <v>35</v>
      </c>
      <c r="J451" t="s">
        <v>22</v>
      </c>
    </row>
    <row r="452" spans="1:10" x14ac:dyDescent="0.55000000000000004">
      <c r="A452" t="s">
        <v>950</v>
      </c>
      <c r="B452" t="s">
        <v>951</v>
      </c>
      <c r="C452" t="s">
        <v>12</v>
      </c>
      <c r="D452" t="s">
        <v>28</v>
      </c>
      <c r="E452" t="s">
        <v>29</v>
      </c>
      <c r="F452">
        <v>48</v>
      </c>
      <c r="G452">
        <v>9</v>
      </c>
      <c r="H452">
        <v>10936</v>
      </c>
      <c r="I452" t="s">
        <v>30</v>
      </c>
      <c r="J452" t="s">
        <v>22</v>
      </c>
    </row>
    <row r="453" spans="1:10" x14ac:dyDescent="0.55000000000000004">
      <c r="A453" t="s">
        <v>952</v>
      </c>
      <c r="B453" t="s">
        <v>953</v>
      </c>
      <c r="C453" t="s">
        <v>43</v>
      </c>
      <c r="D453" t="s">
        <v>147</v>
      </c>
      <c r="E453" t="s">
        <v>29</v>
      </c>
      <c r="F453">
        <v>53</v>
      </c>
      <c r="G453">
        <v>30</v>
      </c>
      <c r="H453">
        <v>13260</v>
      </c>
      <c r="I453" t="s">
        <v>52</v>
      </c>
      <c r="J453" t="s">
        <v>40</v>
      </c>
    </row>
    <row r="454" spans="1:10" x14ac:dyDescent="0.55000000000000004">
      <c r="A454" t="s">
        <v>954</v>
      </c>
      <c r="B454" t="s">
        <v>955</v>
      </c>
      <c r="C454" t="s">
        <v>55</v>
      </c>
      <c r="D454" t="s">
        <v>56</v>
      </c>
      <c r="E454" t="s">
        <v>14</v>
      </c>
      <c r="F454">
        <v>42</v>
      </c>
      <c r="G454">
        <v>16</v>
      </c>
      <c r="H454">
        <v>11856</v>
      </c>
      <c r="I454" t="s">
        <v>52</v>
      </c>
      <c r="J454" t="s">
        <v>36</v>
      </c>
    </row>
    <row r="455" spans="1:10" x14ac:dyDescent="0.55000000000000004">
      <c r="A455" t="s">
        <v>956</v>
      </c>
      <c r="B455" t="s">
        <v>957</v>
      </c>
      <c r="C455" t="s">
        <v>19</v>
      </c>
      <c r="D455" t="s">
        <v>51</v>
      </c>
      <c r="E455" t="s">
        <v>14</v>
      </c>
      <c r="F455">
        <v>48</v>
      </c>
      <c r="G455">
        <v>16</v>
      </c>
      <c r="H455">
        <v>13180</v>
      </c>
      <c r="I455" t="s">
        <v>21</v>
      </c>
      <c r="J455" t="s">
        <v>22</v>
      </c>
    </row>
    <row r="456" spans="1:10" x14ac:dyDescent="0.55000000000000004">
      <c r="A456" t="s">
        <v>958</v>
      </c>
      <c r="B456" t="s">
        <v>959</v>
      </c>
      <c r="C456" t="s">
        <v>47</v>
      </c>
      <c r="D456" t="s">
        <v>65</v>
      </c>
      <c r="E456" t="s">
        <v>14</v>
      </c>
      <c r="F456">
        <v>50</v>
      </c>
      <c r="G456">
        <v>6</v>
      </c>
      <c r="H456">
        <v>9433</v>
      </c>
      <c r="I456" t="s">
        <v>35</v>
      </c>
      <c r="J456" t="s">
        <v>36</v>
      </c>
    </row>
    <row r="457" spans="1:10" x14ac:dyDescent="0.55000000000000004">
      <c r="A457" t="s">
        <v>960</v>
      </c>
      <c r="B457" t="s">
        <v>961</v>
      </c>
      <c r="C457" t="s">
        <v>12</v>
      </c>
      <c r="D457" t="s">
        <v>28</v>
      </c>
      <c r="E457" t="s">
        <v>14</v>
      </c>
      <c r="F457">
        <v>26</v>
      </c>
      <c r="G457">
        <v>4</v>
      </c>
      <c r="H457">
        <v>7803</v>
      </c>
      <c r="I457" t="s">
        <v>21</v>
      </c>
      <c r="J457" t="s">
        <v>36</v>
      </c>
    </row>
    <row r="458" spans="1:10" x14ac:dyDescent="0.55000000000000004">
      <c r="A458" t="s">
        <v>962</v>
      </c>
      <c r="B458" t="s">
        <v>963</v>
      </c>
      <c r="C458" t="s">
        <v>33</v>
      </c>
      <c r="D458" t="s">
        <v>77</v>
      </c>
      <c r="E458" t="s">
        <v>29</v>
      </c>
      <c r="F458">
        <v>60</v>
      </c>
      <c r="G458">
        <v>30</v>
      </c>
      <c r="H458">
        <v>17612</v>
      </c>
      <c r="I458" t="s">
        <v>90</v>
      </c>
      <c r="J458" t="s">
        <v>22</v>
      </c>
    </row>
    <row r="459" spans="1:10" x14ac:dyDescent="0.55000000000000004">
      <c r="A459" t="s">
        <v>964</v>
      </c>
      <c r="B459" t="s">
        <v>965</v>
      </c>
      <c r="C459" t="s">
        <v>43</v>
      </c>
      <c r="D459" t="s">
        <v>147</v>
      </c>
      <c r="E459" t="s">
        <v>14</v>
      </c>
      <c r="F459">
        <v>27</v>
      </c>
      <c r="G459">
        <v>3</v>
      </c>
      <c r="H459">
        <v>6421</v>
      </c>
      <c r="I459" t="s">
        <v>35</v>
      </c>
      <c r="J459" t="s">
        <v>36</v>
      </c>
    </row>
    <row r="460" spans="1:10" x14ac:dyDescent="0.55000000000000004">
      <c r="A460" t="s">
        <v>966</v>
      </c>
      <c r="B460" t="s">
        <v>967</v>
      </c>
      <c r="C460" t="s">
        <v>61</v>
      </c>
      <c r="D460" t="s">
        <v>62</v>
      </c>
      <c r="E460" t="s">
        <v>29</v>
      </c>
      <c r="F460">
        <v>46</v>
      </c>
      <c r="G460">
        <v>23</v>
      </c>
      <c r="H460">
        <v>14876</v>
      </c>
      <c r="I460" t="s">
        <v>52</v>
      </c>
      <c r="J460" t="s">
        <v>22</v>
      </c>
    </row>
    <row r="461" spans="1:10" x14ac:dyDescent="0.55000000000000004">
      <c r="A461" t="s">
        <v>968</v>
      </c>
      <c r="B461" t="s">
        <v>969</v>
      </c>
      <c r="C461" t="s">
        <v>12</v>
      </c>
      <c r="D461" t="s">
        <v>13</v>
      </c>
      <c r="E461" t="s">
        <v>29</v>
      </c>
      <c r="F461">
        <v>52</v>
      </c>
      <c r="G461">
        <v>12</v>
      </c>
      <c r="H461">
        <v>9393</v>
      </c>
      <c r="I461" t="s">
        <v>35</v>
      </c>
      <c r="J461" t="s">
        <v>36</v>
      </c>
    </row>
    <row r="462" spans="1:10" x14ac:dyDescent="0.55000000000000004">
      <c r="A462" t="s">
        <v>970</v>
      </c>
      <c r="B462" t="s">
        <v>971</v>
      </c>
      <c r="C462" t="s">
        <v>12</v>
      </c>
      <c r="D462" t="s">
        <v>25</v>
      </c>
      <c r="E462" t="s">
        <v>29</v>
      </c>
      <c r="F462">
        <v>38</v>
      </c>
      <c r="G462">
        <v>16</v>
      </c>
      <c r="H462">
        <v>13673</v>
      </c>
      <c r="I462" t="s">
        <v>30</v>
      </c>
      <c r="J462" t="s">
        <v>22</v>
      </c>
    </row>
    <row r="463" spans="1:10" x14ac:dyDescent="0.55000000000000004">
      <c r="A463" t="s">
        <v>972</v>
      </c>
      <c r="B463" t="s">
        <v>973</v>
      </c>
      <c r="C463" t="s">
        <v>55</v>
      </c>
      <c r="D463" t="s">
        <v>120</v>
      </c>
      <c r="E463" t="s">
        <v>29</v>
      </c>
      <c r="F463">
        <v>22</v>
      </c>
      <c r="G463">
        <v>1</v>
      </c>
      <c r="H463">
        <v>6144</v>
      </c>
      <c r="I463" t="s">
        <v>52</v>
      </c>
      <c r="J463" t="s">
        <v>40</v>
      </c>
    </row>
    <row r="464" spans="1:10" x14ac:dyDescent="0.55000000000000004">
      <c r="A464" t="s">
        <v>974</v>
      </c>
      <c r="B464" t="s">
        <v>975</v>
      </c>
      <c r="C464" t="s">
        <v>55</v>
      </c>
      <c r="D464" t="s">
        <v>120</v>
      </c>
      <c r="E464" t="s">
        <v>14</v>
      </c>
      <c r="F464">
        <v>52</v>
      </c>
      <c r="G464">
        <v>19</v>
      </c>
      <c r="H464">
        <v>14615</v>
      </c>
      <c r="I464" t="s">
        <v>83</v>
      </c>
      <c r="J464" t="s">
        <v>22</v>
      </c>
    </row>
    <row r="465" spans="1:10" x14ac:dyDescent="0.55000000000000004">
      <c r="A465" t="s">
        <v>976</v>
      </c>
      <c r="B465" t="s">
        <v>977</v>
      </c>
      <c r="C465" t="s">
        <v>47</v>
      </c>
      <c r="D465" t="s">
        <v>48</v>
      </c>
      <c r="E465" t="s">
        <v>29</v>
      </c>
      <c r="F465">
        <v>34</v>
      </c>
      <c r="G465">
        <v>8</v>
      </c>
      <c r="H465">
        <v>9933</v>
      </c>
      <c r="I465" t="s">
        <v>52</v>
      </c>
      <c r="J465" t="s">
        <v>40</v>
      </c>
    </row>
    <row r="466" spans="1:10" x14ac:dyDescent="0.55000000000000004">
      <c r="A466" t="s">
        <v>978</v>
      </c>
      <c r="B466" t="s">
        <v>979</v>
      </c>
      <c r="C466" t="s">
        <v>47</v>
      </c>
      <c r="D466" t="s">
        <v>71</v>
      </c>
      <c r="E466" t="s">
        <v>29</v>
      </c>
      <c r="F466">
        <v>29</v>
      </c>
      <c r="G466">
        <v>8</v>
      </c>
      <c r="H466">
        <v>9845</v>
      </c>
      <c r="I466" t="s">
        <v>83</v>
      </c>
      <c r="J466" t="s">
        <v>36</v>
      </c>
    </row>
    <row r="467" spans="1:10" x14ac:dyDescent="0.55000000000000004">
      <c r="A467" t="s">
        <v>980</v>
      </c>
      <c r="B467" t="s">
        <v>981</v>
      </c>
      <c r="C467" t="s">
        <v>33</v>
      </c>
      <c r="D467" t="s">
        <v>93</v>
      </c>
      <c r="E467" t="s">
        <v>29</v>
      </c>
      <c r="F467">
        <v>45</v>
      </c>
      <c r="G467">
        <v>11</v>
      </c>
      <c r="H467">
        <v>8013</v>
      </c>
      <c r="I467" t="s">
        <v>15</v>
      </c>
      <c r="J467" t="s">
        <v>40</v>
      </c>
    </row>
    <row r="468" spans="1:10" x14ac:dyDescent="0.55000000000000004">
      <c r="A468" t="s">
        <v>982</v>
      </c>
      <c r="B468" t="s">
        <v>983</v>
      </c>
      <c r="C468" t="s">
        <v>47</v>
      </c>
      <c r="D468" t="s">
        <v>71</v>
      </c>
      <c r="E468" t="s">
        <v>29</v>
      </c>
      <c r="F468">
        <v>53</v>
      </c>
      <c r="G468">
        <v>8</v>
      </c>
      <c r="H468">
        <v>7468</v>
      </c>
      <c r="I468" t="s">
        <v>35</v>
      </c>
      <c r="J468" t="s">
        <v>36</v>
      </c>
    </row>
    <row r="469" spans="1:10" x14ac:dyDescent="0.55000000000000004">
      <c r="A469" t="s">
        <v>984</v>
      </c>
      <c r="B469" t="s">
        <v>985</v>
      </c>
      <c r="C469" t="s">
        <v>43</v>
      </c>
      <c r="D469" t="s">
        <v>147</v>
      </c>
      <c r="E469" t="s">
        <v>14</v>
      </c>
      <c r="F469">
        <v>40</v>
      </c>
      <c r="G469">
        <v>0</v>
      </c>
      <c r="H469">
        <v>6850</v>
      </c>
      <c r="I469" t="s">
        <v>83</v>
      </c>
      <c r="J469" t="s">
        <v>22</v>
      </c>
    </row>
    <row r="470" spans="1:10" x14ac:dyDescent="0.55000000000000004">
      <c r="A470" t="s">
        <v>986</v>
      </c>
      <c r="B470" t="s">
        <v>987</v>
      </c>
      <c r="C470" t="s">
        <v>47</v>
      </c>
      <c r="D470" t="s">
        <v>65</v>
      </c>
      <c r="E470" t="s">
        <v>29</v>
      </c>
      <c r="F470">
        <v>45</v>
      </c>
      <c r="G470">
        <v>0</v>
      </c>
      <c r="H470">
        <v>6089</v>
      </c>
      <c r="I470" t="s">
        <v>30</v>
      </c>
      <c r="J470" t="s">
        <v>36</v>
      </c>
    </row>
    <row r="471" spans="1:10" x14ac:dyDescent="0.55000000000000004">
      <c r="A471" t="s">
        <v>988</v>
      </c>
      <c r="B471" t="s">
        <v>989</v>
      </c>
      <c r="C471" t="s">
        <v>43</v>
      </c>
      <c r="D471" t="s">
        <v>68</v>
      </c>
      <c r="E471" t="s">
        <v>14</v>
      </c>
      <c r="F471">
        <v>57</v>
      </c>
      <c r="G471">
        <v>18</v>
      </c>
      <c r="H471">
        <v>13316</v>
      </c>
      <c r="I471" t="s">
        <v>30</v>
      </c>
      <c r="J471" t="s">
        <v>22</v>
      </c>
    </row>
    <row r="472" spans="1:10" x14ac:dyDescent="0.55000000000000004">
      <c r="A472" t="s">
        <v>990</v>
      </c>
      <c r="B472" t="s">
        <v>991</v>
      </c>
      <c r="C472" t="s">
        <v>61</v>
      </c>
      <c r="D472" t="s">
        <v>62</v>
      </c>
      <c r="E472" t="s">
        <v>29</v>
      </c>
      <c r="F472">
        <v>58</v>
      </c>
      <c r="G472">
        <v>18</v>
      </c>
      <c r="H472">
        <v>13385</v>
      </c>
      <c r="I472" t="s">
        <v>83</v>
      </c>
      <c r="J472" t="s">
        <v>40</v>
      </c>
    </row>
    <row r="473" spans="1:10" x14ac:dyDescent="0.55000000000000004">
      <c r="A473" t="s">
        <v>992</v>
      </c>
      <c r="B473" t="s">
        <v>993</v>
      </c>
      <c r="C473" t="s">
        <v>12</v>
      </c>
      <c r="D473" t="s">
        <v>13</v>
      </c>
      <c r="E473" t="s">
        <v>14</v>
      </c>
      <c r="F473">
        <v>47</v>
      </c>
      <c r="G473">
        <v>22</v>
      </c>
      <c r="H473">
        <v>15309</v>
      </c>
      <c r="I473" t="s">
        <v>21</v>
      </c>
      <c r="J473" t="s">
        <v>36</v>
      </c>
    </row>
    <row r="474" spans="1:10" x14ac:dyDescent="0.55000000000000004">
      <c r="A474" t="s">
        <v>994</v>
      </c>
      <c r="B474" t="s">
        <v>995</v>
      </c>
      <c r="C474" t="s">
        <v>19</v>
      </c>
      <c r="D474" t="s">
        <v>20</v>
      </c>
      <c r="E474" t="s">
        <v>14</v>
      </c>
      <c r="F474">
        <v>57</v>
      </c>
      <c r="G474">
        <v>25</v>
      </c>
      <c r="H474">
        <v>17741</v>
      </c>
      <c r="I474" t="s">
        <v>15</v>
      </c>
      <c r="J474" t="s">
        <v>36</v>
      </c>
    </row>
    <row r="475" spans="1:10" x14ac:dyDescent="0.55000000000000004">
      <c r="A475" t="s">
        <v>996</v>
      </c>
      <c r="B475" t="s">
        <v>997</v>
      </c>
      <c r="C475" t="s">
        <v>43</v>
      </c>
      <c r="D475" t="s">
        <v>44</v>
      </c>
      <c r="E475" t="s">
        <v>29</v>
      </c>
      <c r="F475">
        <v>27</v>
      </c>
      <c r="G475">
        <v>1</v>
      </c>
      <c r="H475">
        <v>5844</v>
      </c>
      <c r="I475" t="s">
        <v>52</v>
      </c>
      <c r="J475" t="s">
        <v>40</v>
      </c>
    </row>
    <row r="476" spans="1:10" x14ac:dyDescent="0.55000000000000004">
      <c r="A476" t="s">
        <v>998</v>
      </c>
      <c r="B476" t="s">
        <v>999</v>
      </c>
      <c r="C476" t="s">
        <v>61</v>
      </c>
      <c r="D476" t="s">
        <v>74</v>
      </c>
      <c r="E476" t="s">
        <v>29</v>
      </c>
      <c r="F476">
        <v>30</v>
      </c>
      <c r="G476">
        <v>3</v>
      </c>
      <c r="H476">
        <v>6483</v>
      </c>
      <c r="I476" t="s">
        <v>35</v>
      </c>
      <c r="J476" t="s">
        <v>22</v>
      </c>
    </row>
    <row r="477" spans="1:10" x14ac:dyDescent="0.55000000000000004">
      <c r="A477" t="s">
        <v>1000</v>
      </c>
      <c r="B477" t="s">
        <v>1001</v>
      </c>
      <c r="C477" t="s">
        <v>33</v>
      </c>
      <c r="D477" t="s">
        <v>93</v>
      </c>
      <c r="E477" t="s">
        <v>14</v>
      </c>
      <c r="F477">
        <v>51</v>
      </c>
      <c r="G477">
        <v>19</v>
      </c>
      <c r="H477">
        <v>13503</v>
      </c>
      <c r="I477" t="s">
        <v>21</v>
      </c>
      <c r="J477" t="s">
        <v>22</v>
      </c>
    </row>
    <row r="478" spans="1:10" x14ac:dyDescent="0.55000000000000004">
      <c r="A478" t="s">
        <v>1002</v>
      </c>
      <c r="B478" t="s">
        <v>1003</v>
      </c>
      <c r="C478" t="s">
        <v>55</v>
      </c>
      <c r="D478" t="s">
        <v>120</v>
      </c>
      <c r="E478" t="s">
        <v>29</v>
      </c>
      <c r="F478">
        <v>37</v>
      </c>
      <c r="G478">
        <v>15</v>
      </c>
      <c r="H478">
        <v>13390</v>
      </c>
      <c r="I478" t="s">
        <v>21</v>
      </c>
      <c r="J478" t="s">
        <v>22</v>
      </c>
    </row>
    <row r="479" spans="1:10" x14ac:dyDescent="0.55000000000000004">
      <c r="A479" t="s">
        <v>1004</v>
      </c>
      <c r="B479" t="s">
        <v>1005</v>
      </c>
      <c r="C479" t="s">
        <v>19</v>
      </c>
      <c r="D479" t="s">
        <v>39</v>
      </c>
      <c r="E479" t="s">
        <v>14</v>
      </c>
      <c r="F479">
        <v>31</v>
      </c>
      <c r="G479">
        <v>9</v>
      </c>
      <c r="H479">
        <v>11240</v>
      </c>
      <c r="I479" t="s">
        <v>35</v>
      </c>
      <c r="J479" t="s">
        <v>40</v>
      </c>
    </row>
    <row r="480" spans="1:10" x14ac:dyDescent="0.55000000000000004">
      <c r="A480" t="s">
        <v>1006</v>
      </c>
      <c r="B480" t="s">
        <v>1007</v>
      </c>
      <c r="C480" t="s">
        <v>33</v>
      </c>
      <c r="D480" t="s">
        <v>93</v>
      </c>
      <c r="E480" t="s">
        <v>14</v>
      </c>
      <c r="F480">
        <v>30</v>
      </c>
      <c r="G480">
        <v>7</v>
      </c>
      <c r="H480">
        <v>8474</v>
      </c>
      <c r="I480" t="s">
        <v>15</v>
      </c>
      <c r="J480" t="s">
        <v>22</v>
      </c>
    </row>
    <row r="481" spans="1:10" x14ac:dyDescent="0.55000000000000004">
      <c r="A481" t="s">
        <v>1008</v>
      </c>
      <c r="B481" t="s">
        <v>1009</v>
      </c>
      <c r="C481" t="s">
        <v>47</v>
      </c>
      <c r="D481" t="s">
        <v>65</v>
      </c>
      <c r="E481" t="s">
        <v>14</v>
      </c>
      <c r="F481">
        <v>56</v>
      </c>
      <c r="G481">
        <v>0</v>
      </c>
      <c r="H481">
        <v>6082</v>
      </c>
      <c r="I481" t="s">
        <v>15</v>
      </c>
      <c r="J481" t="s">
        <v>22</v>
      </c>
    </row>
    <row r="482" spans="1:10" x14ac:dyDescent="0.55000000000000004">
      <c r="A482" t="s">
        <v>1010</v>
      </c>
      <c r="B482" t="s">
        <v>1011</v>
      </c>
      <c r="C482" t="s">
        <v>61</v>
      </c>
      <c r="D482" t="s">
        <v>62</v>
      </c>
      <c r="E482" t="s">
        <v>29</v>
      </c>
      <c r="F482">
        <v>38</v>
      </c>
      <c r="G482">
        <v>4</v>
      </c>
      <c r="H482">
        <v>6069</v>
      </c>
      <c r="I482" t="s">
        <v>83</v>
      </c>
      <c r="J482" t="s">
        <v>22</v>
      </c>
    </row>
    <row r="483" spans="1:10" x14ac:dyDescent="0.55000000000000004">
      <c r="A483" t="s">
        <v>1012</v>
      </c>
      <c r="B483" t="s">
        <v>1013</v>
      </c>
      <c r="C483" t="s">
        <v>12</v>
      </c>
      <c r="D483" t="s">
        <v>28</v>
      </c>
      <c r="E483" t="s">
        <v>29</v>
      </c>
      <c r="F483">
        <v>40</v>
      </c>
      <c r="G483">
        <v>5</v>
      </c>
      <c r="H483">
        <v>8881</v>
      </c>
      <c r="I483" t="s">
        <v>52</v>
      </c>
      <c r="J483" t="s">
        <v>40</v>
      </c>
    </row>
    <row r="484" spans="1:10" x14ac:dyDescent="0.55000000000000004">
      <c r="A484" t="s">
        <v>1014</v>
      </c>
      <c r="B484" t="s">
        <v>1015</v>
      </c>
      <c r="C484" t="s">
        <v>55</v>
      </c>
      <c r="D484" t="s">
        <v>80</v>
      </c>
      <c r="E484" t="s">
        <v>29</v>
      </c>
      <c r="F484">
        <v>50</v>
      </c>
      <c r="G484">
        <v>14</v>
      </c>
      <c r="H484">
        <v>8967</v>
      </c>
      <c r="I484" t="s">
        <v>35</v>
      </c>
      <c r="J484" t="s">
        <v>22</v>
      </c>
    </row>
    <row r="485" spans="1:10" x14ac:dyDescent="0.55000000000000004">
      <c r="A485" t="s">
        <v>1016</v>
      </c>
      <c r="B485" t="s">
        <v>1017</v>
      </c>
      <c r="C485" t="s">
        <v>12</v>
      </c>
      <c r="D485" t="s">
        <v>13</v>
      </c>
      <c r="E485" t="s">
        <v>29</v>
      </c>
      <c r="F485">
        <v>34</v>
      </c>
      <c r="G485">
        <v>0</v>
      </c>
      <c r="H485">
        <v>7923</v>
      </c>
      <c r="I485" t="s">
        <v>35</v>
      </c>
      <c r="J485" t="s">
        <v>22</v>
      </c>
    </row>
    <row r="486" spans="1:10" x14ac:dyDescent="0.55000000000000004">
      <c r="A486" t="s">
        <v>1018</v>
      </c>
      <c r="B486" t="s">
        <v>1019</v>
      </c>
      <c r="C486" t="s">
        <v>61</v>
      </c>
      <c r="D486" t="s">
        <v>62</v>
      </c>
      <c r="E486" t="s">
        <v>14</v>
      </c>
      <c r="F486">
        <v>33</v>
      </c>
      <c r="G486">
        <v>8</v>
      </c>
      <c r="H486">
        <v>8412</v>
      </c>
      <c r="I486" t="s">
        <v>21</v>
      </c>
      <c r="J486" t="s">
        <v>22</v>
      </c>
    </row>
    <row r="487" spans="1:10" x14ac:dyDescent="0.55000000000000004">
      <c r="A487" t="s">
        <v>1020</v>
      </c>
      <c r="B487" t="s">
        <v>1021</v>
      </c>
      <c r="C487" t="s">
        <v>47</v>
      </c>
      <c r="D487" t="s">
        <v>71</v>
      </c>
      <c r="E487" t="s">
        <v>29</v>
      </c>
      <c r="F487">
        <v>42</v>
      </c>
      <c r="G487">
        <v>14</v>
      </c>
      <c r="H487">
        <v>11749</v>
      </c>
      <c r="I487" t="s">
        <v>35</v>
      </c>
      <c r="J487" t="s">
        <v>16</v>
      </c>
    </row>
    <row r="488" spans="1:10" x14ac:dyDescent="0.55000000000000004">
      <c r="A488" t="s">
        <v>1022</v>
      </c>
      <c r="B488" t="s">
        <v>1023</v>
      </c>
      <c r="C488" t="s">
        <v>12</v>
      </c>
      <c r="D488" t="s">
        <v>28</v>
      </c>
      <c r="E488" t="s">
        <v>14</v>
      </c>
      <c r="F488">
        <v>37</v>
      </c>
      <c r="G488">
        <v>0</v>
      </c>
      <c r="H488">
        <v>6803</v>
      </c>
      <c r="I488" t="s">
        <v>90</v>
      </c>
      <c r="J488" t="s">
        <v>22</v>
      </c>
    </row>
    <row r="489" spans="1:10" x14ac:dyDescent="0.55000000000000004">
      <c r="A489" t="s">
        <v>1024</v>
      </c>
      <c r="B489" t="s">
        <v>1025</v>
      </c>
      <c r="C489" t="s">
        <v>19</v>
      </c>
      <c r="D489" t="s">
        <v>51</v>
      </c>
      <c r="E489" t="s">
        <v>14</v>
      </c>
      <c r="F489">
        <v>41</v>
      </c>
      <c r="G489">
        <v>15</v>
      </c>
      <c r="H489">
        <v>13689</v>
      </c>
      <c r="I489" t="s">
        <v>83</v>
      </c>
      <c r="J489" t="s">
        <v>36</v>
      </c>
    </row>
    <row r="490" spans="1:10" x14ac:dyDescent="0.55000000000000004">
      <c r="A490" t="s">
        <v>1026</v>
      </c>
      <c r="B490" t="s">
        <v>1027</v>
      </c>
      <c r="C490" t="s">
        <v>47</v>
      </c>
      <c r="D490" t="s">
        <v>65</v>
      </c>
      <c r="E490" t="s">
        <v>14</v>
      </c>
      <c r="F490">
        <v>48</v>
      </c>
      <c r="G490">
        <v>6</v>
      </c>
      <c r="H490">
        <v>7091</v>
      </c>
      <c r="I490" t="s">
        <v>21</v>
      </c>
      <c r="J490" t="s">
        <v>22</v>
      </c>
    </row>
    <row r="491" spans="1:10" x14ac:dyDescent="0.55000000000000004">
      <c r="A491" t="s">
        <v>1028</v>
      </c>
      <c r="B491" t="s">
        <v>1029</v>
      </c>
      <c r="C491" t="s">
        <v>19</v>
      </c>
      <c r="D491" t="s">
        <v>39</v>
      </c>
      <c r="E491" t="s">
        <v>14</v>
      </c>
      <c r="F491">
        <v>31</v>
      </c>
      <c r="G491">
        <v>8</v>
      </c>
      <c r="H491">
        <v>9315</v>
      </c>
      <c r="I491" t="s">
        <v>90</v>
      </c>
      <c r="J491" t="s">
        <v>22</v>
      </c>
    </row>
    <row r="492" spans="1:10" x14ac:dyDescent="0.55000000000000004">
      <c r="A492" t="s">
        <v>1030</v>
      </c>
      <c r="B492" t="s">
        <v>1031</v>
      </c>
      <c r="C492" t="s">
        <v>55</v>
      </c>
      <c r="D492" t="s">
        <v>56</v>
      </c>
      <c r="E492" t="s">
        <v>29</v>
      </c>
      <c r="F492">
        <v>50</v>
      </c>
      <c r="G492">
        <v>10</v>
      </c>
      <c r="H492">
        <v>10381</v>
      </c>
      <c r="I492" t="s">
        <v>52</v>
      </c>
      <c r="J492" t="s">
        <v>22</v>
      </c>
    </row>
    <row r="493" spans="1:10" x14ac:dyDescent="0.55000000000000004">
      <c r="A493" t="s">
        <v>1032</v>
      </c>
      <c r="B493" t="s">
        <v>1033</v>
      </c>
      <c r="C493" t="s">
        <v>19</v>
      </c>
      <c r="D493" t="s">
        <v>20</v>
      </c>
      <c r="E493" t="s">
        <v>14</v>
      </c>
      <c r="F493">
        <v>42</v>
      </c>
      <c r="G493">
        <v>14</v>
      </c>
      <c r="H493">
        <v>12765</v>
      </c>
      <c r="I493" t="s">
        <v>83</v>
      </c>
      <c r="J493" t="s">
        <v>16</v>
      </c>
    </row>
    <row r="494" spans="1:10" x14ac:dyDescent="0.55000000000000004">
      <c r="A494" t="s">
        <v>1034</v>
      </c>
      <c r="B494" t="s">
        <v>1035</v>
      </c>
      <c r="C494" t="s">
        <v>33</v>
      </c>
      <c r="D494" t="s">
        <v>93</v>
      </c>
      <c r="E494" t="s">
        <v>29</v>
      </c>
      <c r="F494">
        <v>56</v>
      </c>
      <c r="G494">
        <v>5</v>
      </c>
      <c r="H494">
        <v>7402</v>
      </c>
      <c r="I494" t="s">
        <v>30</v>
      </c>
      <c r="J494" t="s">
        <v>22</v>
      </c>
    </row>
    <row r="495" spans="1:10" x14ac:dyDescent="0.55000000000000004">
      <c r="A495" t="s">
        <v>1036</v>
      </c>
      <c r="B495" t="s">
        <v>1037</v>
      </c>
      <c r="C495" t="s">
        <v>19</v>
      </c>
      <c r="D495" t="s">
        <v>39</v>
      </c>
      <c r="E495" t="s">
        <v>14</v>
      </c>
      <c r="F495">
        <v>49</v>
      </c>
      <c r="G495">
        <v>12</v>
      </c>
      <c r="H495">
        <v>11325</v>
      </c>
      <c r="I495" t="s">
        <v>21</v>
      </c>
      <c r="J495" t="s">
        <v>22</v>
      </c>
    </row>
    <row r="496" spans="1:10" x14ac:dyDescent="0.55000000000000004">
      <c r="A496" t="s">
        <v>1038</v>
      </c>
      <c r="B496" t="s">
        <v>1039</v>
      </c>
      <c r="C496" t="s">
        <v>43</v>
      </c>
      <c r="D496" t="s">
        <v>147</v>
      </c>
      <c r="E496" t="s">
        <v>29</v>
      </c>
      <c r="F496">
        <v>35</v>
      </c>
      <c r="G496">
        <v>1</v>
      </c>
      <c r="H496">
        <v>5453</v>
      </c>
      <c r="I496" t="s">
        <v>15</v>
      </c>
      <c r="J496" t="s">
        <v>36</v>
      </c>
    </row>
    <row r="497" spans="1:10" x14ac:dyDescent="0.55000000000000004">
      <c r="A497" t="s">
        <v>1040</v>
      </c>
      <c r="B497" t="s">
        <v>1041</v>
      </c>
      <c r="C497" t="s">
        <v>47</v>
      </c>
      <c r="D497" t="s">
        <v>71</v>
      </c>
      <c r="E497" t="s">
        <v>29</v>
      </c>
      <c r="F497">
        <v>24</v>
      </c>
      <c r="G497">
        <v>2</v>
      </c>
      <c r="H497">
        <v>6151</v>
      </c>
      <c r="I497" t="s">
        <v>30</v>
      </c>
      <c r="J497" t="s">
        <v>36</v>
      </c>
    </row>
    <row r="498" spans="1:10" x14ac:dyDescent="0.55000000000000004">
      <c r="A498" t="s">
        <v>1042</v>
      </c>
      <c r="B498" t="s">
        <v>1043</v>
      </c>
      <c r="C498" t="s">
        <v>33</v>
      </c>
      <c r="D498" t="s">
        <v>34</v>
      </c>
      <c r="E498" t="s">
        <v>29</v>
      </c>
      <c r="F498">
        <v>58</v>
      </c>
      <c r="G498">
        <v>34</v>
      </c>
      <c r="H498">
        <v>18454</v>
      </c>
      <c r="I498" t="s">
        <v>83</v>
      </c>
      <c r="J498" t="s">
        <v>36</v>
      </c>
    </row>
    <row r="499" spans="1:10" x14ac:dyDescent="0.55000000000000004">
      <c r="A499" t="s">
        <v>1044</v>
      </c>
      <c r="B499" t="s">
        <v>1045</v>
      </c>
      <c r="C499" t="s">
        <v>43</v>
      </c>
      <c r="D499" t="s">
        <v>68</v>
      </c>
      <c r="E499" t="s">
        <v>14</v>
      </c>
      <c r="F499">
        <v>37</v>
      </c>
      <c r="G499">
        <v>14</v>
      </c>
      <c r="H499">
        <v>8716</v>
      </c>
      <c r="I499" t="s">
        <v>83</v>
      </c>
      <c r="J499" t="s">
        <v>22</v>
      </c>
    </row>
    <row r="500" spans="1:10" x14ac:dyDescent="0.55000000000000004">
      <c r="A500" t="s">
        <v>1046</v>
      </c>
      <c r="B500" t="s">
        <v>1047</v>
      </c>
      <c r="C500" t="s">
        <v>47</v>
      </c>
      <c r="D500" t="s">
        <v>71</v>
      </c>
      <c r="E500" t="s">
        <v>14</v>
      </c>
      <c r="F500">
        <v>45</v>
      </c>
      <c r="G500">
        <v>6</v>
      </c>
      <c r="H500">
        <v>7140</v>
      </c>
      <c r="I500" t="s">
        <v>35</v>
      </c>
      <c r="J500" t="s">
        <v>36</v>
      </c>
    </row>
    <row r="501" spans="1:10" x14ac:dyDescent="0.55000000000000004">
      <c r="A501" t="s">
        <v>1048</v>
      </c>
      <c r="B501" t="s">
        <v>1049</v>
      </c>
      <c r="C501" t="s">
        <v>61</v>
      </c>
      <c r="D501" t="s">
        <v>62</v>
      </c>
      <c r="E501" t="s">
        <v>29</v>
      </c>
      <c r="F501">
        <v>39</v>
      </c>
      <c r="G501">
        <v>11</v>
      </c>
      <c r="H501">
        <v>10510</v>
      </c>
      <c r="I501" t="s">
        <v>21</v>
      </c>
      <c r="J501" t="s">
        <v>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5F29-F2D5-4924-8EAF-31B16DEB9956}">
  <dimension ref="A1"/>
  <sheetViews>
    <sheetView workbookViewId="0"/>
  </sheetViews>
  <sheetFormatPr defaultRowHeight="14.4" x14ac:dyDescent="0.550000000000000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C30512B-F297-4666-A689-CDB1FB8CE0EF}">
  <ds:schemaRefs/>
</ds:datastoreItem>
</file>

<file path=customXml/itemProps2.xml><?xml version="1.0" encoding="utf-8"?>
<ds:datastoreItem xmlns:ds="http://schemas.openxmlformats.org/officeDocument/2006/customXml" ds:itemID="{A7C498BE-0FF7-41A6-8C95-9053F437CF6B}">
  <ds:schemaRefs/>
</ds:datastoreItem>
</file>

<file path=customXml/itemProps3.xml><?xml version="1.0" encoding="utf-8"?>
<ds:datastoreItem xmlns:ds="http://schemas.openxmlformats.org/officeDocument/2006/customXml" ds:itemID="{233DC5B7-E9BC-483D-A181-AD27BE6887AE}">
  <ds:schemaRefs/>
</ds:datastoreItem>
</file>

<file path=customXml/itemProps4.xml><?xml version="1.0" encoding="utf-8"?>
<ds:datastoreItem xmlns:ds="http://schemas.openxmlformats.org/officeDocument/2006/customXml" ds:itemID="{9916D0EE-97A8-472F-B140-A34CE3A34CCD}">
  <ds:schemaRefs/>
</ds:datastoreItem>
</file>

<file path=customXml/itemProps5.xml><?xml version="1.0" encoding="utf-8"?>
<ds:datastoreItem xmlns:ds="http://schemas.openxmlformats.org/officeDocument/2006/customXml" ds:itemID="{B368797D-3C38-4D2C-8DFA-FD3581A4CECF}">
  <ds:schemaRefs/>
</ds:datastoreItem>
</file>

<file path=customXml/itemProps6.xml><?xml version="1.0" encoding="utf-8"?>
<ds:datastoreItem xmlns:ds="http://schemas.openxmlformats.org/officeDocument/2006/customXml" ds:itemID="{F30D1B3B-66FF-458D-A973-3B679AC8A749}">
  <ds:schemaRefs/>
</ds:datastoreItem>
</file>

<file path=customXml/itemProps7.xml><?xml version="1.0" encoding="utf-8"?>
<ds:datastoreItem xmlns:ds="http://schemas.openxmlformats.org/officeDocument/2006/customXml" ds:itemID="{121730B5-226E-49E1-B346-3F8780EDFA06}">
  <ds:schemaRefs/>
</ds:datastoreItem>
</file>

<file path=customXml/itemProps8.xml><?xml version="1.0" encoding="utf-8"?>
<ds:datastoreItem xmlns:ds="http://schemas.openxmlformats.org/officeDocument/2006/customXml" ds:itemID="{B168BF4C-224F-4274-A69B-27CC5B811C24}">
  <ds:schemaRefs>
    <ds:schemaRef ds:uri="http://schemas.microsoft.com/DataMashup"/>
  </ds:schemaRefs>
</ds:datastoreItem>
</file>

<file path=customXml/itemProps9.xml><?xml version="1.0" encoding="utf-8"?>
<ds:datastoreItem xmlns:ds="http://schemas.openxmlformats.org/officeDocument/2006/customXml" ds:itemID="{42C6D71E-DCD2-4976-8667-B89F6A2A884A}">
  <ds:schemaRefs/>
</ds:datastoreItem>
</file>

<file path=customXml/itemProps10.xml><?xml version="1.0" encoding="utf-8"?>
<ds:datastoreItem xmlns:ds="http://schemas.openxmlformats.org/officeDocument/2006/customXml" ds:itemID="{25D23930-D5B4-4FBB-8D72-FA63D6EFD68C}">
  <ds:schemaRefs/>
</ds:datastoreItem>
</file>

<file path=customXml/itemProps11.xml><?xml version="1.0" encoding="utf-8"?>
<ds:datastoreItem xmlns:ds="http://schemas.openxmlformats.org/officeDocument/2006/customXml" ds:itemID="{93106ABE-2C1C-425D-96E9-C62272A79D09}">
  <ds:schemaRefs/>
</ds:datastoreItem>
</file>

<file path=customXml/itemProps12.xml><?xml version="1.0" encoding="utf-8"?>
<ds:datastoreItem xmlns:ds="http://schemas.openxmlformats.org/officeDocument/2006/customXml" ds:itemID="{55ECE54A-CC35-4E77-A8ED-57B5F4B8ECA3}">
  <ds:schemaRefs/>
</ds:datastoreItem>
</file>

<file path=customXml/itemProps13.xml><?xml version="1.0" encoding="utf-8"?>
<ds:datastoreItem xmlns:ds="http://schemas.openxmlformats.org/officeDocument/2006/customXml" ds:itemID="{08B5CF9D-A700-4D17-B439-280F8218DDCD}">
  <ds:schemaRefs/>
</ds:datastoreItem>
</file>

<file path=customXml/itemProps14.xml><?xml version="1.0" encoding="utf-8"?>
<ds:datastoreItem xmlns:ds="http://schemas.openxmlformats.org/officeDocument/2006/customXml" ds:itemID="{67BE2405-4CE1-4AA0-859A-B0725266B1DA}">
  <ds:schemaRefs/>
</ds:datastoreItem>
</file>

<file path=customXml/itemProps15.xml><?xml version="1.0" encoding="utf-8"?>
<ds:datastoreItem xmlns:ds="http://schemas.openxmlformats.org/officeDocument/2006/customXml" ds:itemID="{F22556C3-C033-4225-9112-79325E134DB4}">
  <ds:schemaRefs/>
</ds:datastoreItem>
</file>

<file path=customXml/itemProps16.xml><?xml version="1.0" encoding="utf-8"?>
<ds:datastoreItem xmlns:ds="http://schemas.openxmlformats.org/officeDocument/2006/customXml" ds:itemID="{31C8E3BB-F4F3-407B-A27F-44A5C263A404}">
  <ds:schemaRefs/>
</ds:datastoreItem>
</file>

<file path=customXml/itemProps17.xml><?xml version="1.0" encoding="utf-8"?>
<ds:datastoreItem xmlns:ds="http://schemas.openxmlformats.org/officeDocument/2006/customXml" ds:itemID="{69BC8C98-08C6-4F50-A688-4EE5F1D38335}">
  <ds:schemaRefs/>
</ds:datastoreItem>
</file>

<file path=customXml/itemProps18.xml><?xml version="1.0" encoding="utf-8"?>
<ds:datastoreItem xmlns:ds="http://schemas.openxmlformats.org/officeDocument/2006/customXml" ds:itemID="{2FCE9093-534B-465F-822E-71CDC28A2C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Jop Classification</vt:lpstr>
      <vt:lpstr>Dashboard</vt:lpstr>
      <vt:lpstr>Pivot Table Analysis</vt:lpstr>
      <vt:lpstr>Employees_salary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اشرف محسن محمود مدكور</dc:creator>
  <cp:lastModifiedBy>محمد اشرف محسن محمود مدكور</cp:lastModifiedBy>
  <dcterms:created xsi:type="dcterms:W3CDTF">2026-04-03T14:22:41Z</dcterms:created>
  <dcterms:modified xsi:type="dcterms:W3CDTF">2026-04-05T11:28:07Z</dcterms:modified>
</cp:coreProperties>
</file>